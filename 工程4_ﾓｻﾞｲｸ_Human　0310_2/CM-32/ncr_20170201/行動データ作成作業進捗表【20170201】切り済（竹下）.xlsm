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odbto211609120a\Z\HD31_20170207入手\CM-32\作業中リスト\"/>
    </mc:Choice>
  </mc:AlternateContent>
  <bookViews>
    <workbookView xWindow="0" yWindow="0" windowWidth="13470" windowHeight="4335" tabRatio="790" activeTab="1"/>
  </bookViews>
  <sheets>
    <sheet name="元データー" sheetId="4" r:id="rId1"/>
    <sheet name="該当動画の処理進捗" sheetId="1" r:id="rId2"/>
    <sheet name="入力規制リスト" sheetId="3" r:id="rId3"/>
    <sheet name="切り出し確認" sheetId="5" r:id="rId4"/>
  </sheets>
  <definedNames>
    <definedName name="_xlnm._FilterDatabase" localSheetId="1" hidden="1">該当動画の処理進捗!$A$4:$AE$1294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J1" i="5" l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AA1293" i="1" l="1"/>
  <c r="AA1292" i="1"/>
  <c r="AA1291" i="1"/>
  <c r="AA1290" i="1"/>
  <c r="AA1289" i="1"/>
  <c r="AA1288" i="1"/>
  <c r="AA1287" i="1"/>
  <c r="AA1286" i="1"/>
  <c r="AA1285" i="1"/>
  <c r="AA1284" i="1"/>
  <c r="AA1283" i="1"/>
  <c r="AA1282" i="1"/>
  <c r="AA1281" i="1"/>
  <c r="AA1280" i="1"/>
  <c r="AA1279" i="1"/>
  <c r="AA1278" i="1"/>
  <c r="AA1277" i="1"/>
  <c r="AA1276" i="1"/>
  <c r="AA1275" i="1"/>
  <c r="AA1274" i="1"/>
  <c r="AA1273" i="1"/>
  <c r="AA1272" i="1"/>
  <c r="AA1271" i="1"/>
  <c r="AA1270" i="1"/>
  <c r="AA1269" i="1"/>
  <c r="AA1268" i="1"/>
  <c r="AA1267" i="1"/>
  <c r="AA1266" i="1"/>
  <c r="AA1265" i="1"/>
  <c r="AA1264" i="1"/>
  <c r="AA1263" i="1"/>
  <c r="AA1262" i="1"/>
  <c r="AA1261" i="1"/>
  <c r="AA1260" i="1"/>
  <c r="AA1259" i="1"/>
  <c r="AA1258" i="1"/>
  <c r="AA1257" i="1"/>
  <c r="AA1256" i="1"/>
  <c r="AA1255" i="1"/>
  <c r="AA1254" i="1"/>
  <c r="AA1253" i="1"/>
  <c r="AA1252" i="1"/>
  <c r="AA1251" i="1"/>
  <c r="AA1250" i="1"/>
  <c r="AA1249" i="1"/>
  <c r="AA1248" i="1"/>
  <c r="AA1247" i="1"/>
  <c r="AA1246" i="1"/>
  <c r="AA1245" i="1"/>
  <c r="AA1244" i="1"/>
  <c r="AA1243" i="1"/>
  <c r="AA1242" i="1"/>
  <c r="AA1241" i="1"/>
  <c r="AA1240" i="1"/>
  <c r="AA1239" i="1"/>
  <c r="AA1238" i="1"/>
  <c r="AA1237" i="1"/>
  <c r="AA1236" i="1"/>
  <c r="AA1235" i="1"/>
  <c r="AA1234" i="1"/>
  <c r="AA1233" i="1"/>
  <c r="AA1232" i="1"/>
  <c r="AA1231" i="1"/>
  <c r="AA1230" i="1"/>
  <c r="AA1229" i="1"/>
  <c r="AA1228" i="1"/>
  <c r="AA1227" i="1"/>
  <c r="AA1226" i="1"/>
  <c r="AA1225" i="1"/>
  <c r="AA1224" i="1"/>
  <c r="AA1223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7" i="1"/>
  <c r="AA1206" i="1"/>
  <c r="AA1205" i="1"/>
  <c r="AA1204" i="1"/>
  <c r="AA1203" i="1"/>
  <c r="AA1202" i="1"/>
  <c r="AA1201" i="1"/>
  <c r="AA1200" i="1"/>
  <c r="AA1199" i="1"/>
  <c r="AA1198" i="1"/>
  <c r="AA1197" i="1"/>
  <c r="AA1196" i="1"/>
  <c r="AA1195" i="1"/>
  <c r="AA1194" i="1"/>
  <c r="AA1193" i="1"/>
  <c r="AA1192" i="1"/>
  <c r="AA1191" i="1"/>
  <c r="AA1190" i="1"/>
  <c r="AA1189" i="1"/>
  <c r="AA1188" i="1"/>
  <c r="AA1187" i="1"/>
  <c r="AA1186" i="1"/>
  <c r="AA1185" i="1"/>
  <c r="AA1184" i="1"/>
  <c r="AA1183" i="1"/>
  <c r="AA1182" i="1"/>
  <c r="AA1181" i="1"/>
  <c r="AA1180" i="1"/>
  <c r="AA1179" i="1"/>
  <c r="AA1178" i="1"/>
  <c r="AA1177" i="1"/>
  <c r="AA1176" i="1"/>
  <c r="AA1175" i="1"/>
  <c r="AA1174" i="1"/>
  <c r="AA1173" i="1"/>
  <c r="AA1172" i="1"/>
  <c r="AA1171" i="1"/>
  <c r="AA1170" i="1"/>
  <c r="AA1169" i="1"/>
  <c r="AA1168" i="1"/>
  <c r="AA1167" i="1"/>
  <c r="AA1166" i="1"/>
  <c r="AA1165" i="1"/>
  <c r="AA1164" i="1"/>
  <c r="AA1163" i="1"/>
  <c r="AA1162" i="1"/>
  <c r="AA1161" i="1"/>
  <c r="AA1160" i="1"/>
  <c r="AA1159" i="1"/>
  <c r="AA1158" i="1"/>
  <c r="AA1157" i="1"/>
  <c r="AA1156" i="1"/>
  <c r="AA1155" i="1"/>
  <c r="AA1154" i="1"/>
  <c r="AA1153" i="1"/>
  <c r="AA1152" i="1"/>
  <c r="AA1151" i="1"/>
  <c r="AA1150" i="1"/>
  <c r="AA1149" i="1"/>
  <c r="AA1148" i="1"/>
  <c r="AA1147" i="1"/>
  <c r="AA1146" i="1"/>
  <c r="AA1145" i="1"/>
  <c r="AA1144" i="1"/>
  <c r="AA1143" i="1"/>
  <c r="AA1142" i="1"/>
  <c r="AA1141" i="1"/>
  <c r="AA1140" i="1"/>
  <c r="AA1139" i="1"/>
  <c r="AA1138" i="1"/>
  <c r="AA1137" i="1"/>
  <c r="AA1136" i="1"/>
  <c r="AA1135" i="1"/>
  <c r="AA1134" i="1"/>
  <c r="AA1133" i="1"/>
  <c r="AA1132" i="1"/>
  <c r="AA1131" i="1"/>
  <c r="AA1130" i="1"/>
  <c r="AA1129" i="1"/>
  <c r="AA1128" i="1"/>
  <c r="AA1127" i="1"/>
  <c r="AA1126" i="1"/>
  <c r="AA1125" i="1"/>
  <c r="AA1124" i="1"/>
  <c r="AA1123" i="1"/>
  <c r="AA1122" i="1"/>
  <c r="AA1121" i="1"/>
  <c r="AA1120" i="1"/>
  <c r="AA1119" i="1"/>
  <c r="AA1118" i="1"/>
  <c r="AA1117" i="1"/>
  <c r="AA1116" i="1"/>
  <c r="AA1115" i="1"/>
  <c r="AA1114" i="1"/>
  <c r="AA1113" i="1"/>
  <c r="AA1112" i="1"/>
  <c r="AA1111" i="1"/>
  <c r="AA1110" i="1"/>
  <c r="AA1109" i="1"/>
  <c r="AA1108" i="1"/>
  <c r="AA1107" i="1"/>
  <c r="AA1106" i="1"/>
  <c r="AA1105" i="1"/>
  <c r="AA1104" i="1"/>
  <c r="AA1103" i="1"/>
  <c r="AA1102" i="1"/>
  <c r="AA1101" i="1"/>
  <c r="AA1100" i="1"/>
  <c r="AA1099" i="1"/>
  <c r="AA1098" i="1"/>
  <c r="AA1097" i="1"/>
  <c r="AA1096" i="1"/>
  <c r="AA1095" i="1"/>
  <c r="AA1094" i="1"/>
  <c r="AA1093" i="1"/>
  <c r="AA1092" i="1"/>
  <c r="AA1091" i="1"/>
  <c r="AA1090" i="1"/>
  <c r="AA1089" i="1"/>
  <c r="AA1088" i="1"/>
  <c r="AA1087" i="1"/>
  <c r="AA1086" i="1"/>
  <c r="AA1085" i="1"/>
  <c r="AA1084" i="1"/>
  <c r="AA1083" i="1"/>
  <c r="AA1082" i="1"/>
  <c r="AA1081" i="1"/>
  <c r="AA1080" i="1"/>
  <c r="AA1079" i="1"/>
  <c r="AA1078" i="1"/>
  <c r="AA1077" i="1"/>
  <c r="AA1076" i="1"/>
  <c r="AA1075" i="1"/>
  <c r="AA1074" i="1"/>
  <c r="AA1073" i="1"/>
  <c r="AA1072" i="1"/>
  <c r="AA1071" i="1"/>
  <c r="AA1070" i="1"/>
  <c r="AA1069" i="1"/>
  <c r="AA1068" i="1"/>
  <c r="AA1067" i="1"/>
  <c r="AA1066" i="1"/>
  <c r="AA1065" i="1"/>
  <c r="AA1064" i="1"/>
  <c r="AA1063" i="1"/>
  <c r="AA1062" i="1"/>
  <c r="AA1061" i="1"/>
  <c r="AA1060" i="1"/>
  <c r="AA1059" i="1"/>
  <c r="AA1058" i="1"/>
  <c r="AA1057" i="1"/>
  <c r="AA1056" i="1"/>
  <c r="AA1055" i="1"/>
  <c r="AA1054" i="1"/>
  <c r="AA1053" i="1"/>
  <c r="AA1052" i="1"/>
  <c r="AA1051" i="1"/>
  <c r="AA1050" i="1"/>
  <c r="AA1049" i="1"/>
  <c r="AA1048" i="1"/>
  <c r="AA1047" i="1"/>
  <c r="AA1046" i="1"/>
  <c r="AA1045" i="1"/>
  <c r="AA1044" i="1"/>
  <c r="AA1043" i="1"/>
  <c r="AA1042" i="1"/>
  <c r="AA1041" i="1"/>
  <c r="AA1040" i="1"/>
  <c r="AA1039" i="1"/>
  <c r="AA1038" i="1"/>
  <c r="AA1037" i="1"/>
  <c r="AA1036" i="1"/>
  <c r="AA1035" i="1"/>
  <c r="AA1034" i="1"/>
  <c r="AA1033" i="1"/>
  <c r="AA1032" i="1"/>
  <c r="AA1031" i="1"/>
  <c r="AA1030" i="1"/>
  <c r="AA1029" i="1"/>
  <c r="AA1028" i="1"/>
  <c r="AA1027" i="1"/>
  <c r="AA1026" i="1"/>
  <c r="AA1025" i="1"/>
  <c r="AA1024" i="1"/>
  <c r="AA1023" i="1"/>
  <c r="AA1022" i="1"/>
  <c r="AA1021" i="1"/>
  <c r="AA1020" i="1"/>
  <c r="AA1019" i="1"/>
  <c r="AA1018" i="1"/>
  <c r="AA1017" i="1"/>
  <c r="AA1016" i="1"/>
  <c r="AA1015" i="1"/>
  <c r="AA1014" i="1"/>
  <c r="AA1013" i="1"/>
  <c r="AA1012" i="1"/>
  <c r="AA1011" i="1"/>
  <c r="AA1010" i="1"/>
  <c r="AA1009" i="1"/>
  <c r="AA1008" i="1"/>
  <c r="AA1007" i="1"/>
  <c r="AA1006" i="1"/>
  <c r="AA1005" i="1"/>
  <c r="AA1004" i="1"/>
  <c r="AA1003" i="1"/>
  <c r="AA1002" i="1"/>
  <c r="AA1001" i="1"/>
  <c r="AA1000" i="1"/>
  <c r="AA999" i="1"/>
  <c r="AA998" i="1"/>
  <c r="AA997" i="1"/>
  <c r="AA996" i="1"/>
  <c r="AA995" i="1"/>
  <c r="AA994" i="1"/>
  <c r="AA993" i="1"/>
  <c r="AA992" i="1"/>
  <c r="AA991" i="1"/>
  <c r="AA990" i="1"/>
  <c r="AA989" i="1"/>
  <c r="AA988" i="1"/>
  <c r="AA987" i="1"/>
  <c r="AA986" i="1"/>
  <c r="AA985" i="1"/>
  <c r="AA984" i="1"/>
  <c r="AA983" i="1"/>
  <c r="AA982" i="1"/>
  <c r="AA981" i="1"/>
  <c r="AA980" i="1"/>
  <c r="AA979" i="1"/>
  <c r="AA978" i="1"/>
  <c r="AA977" i="1"/>
  <c r="AA976" i="1"/>
  <c r="AA975" i="1"/>
  <c r="AA974" i="1"/>
  <c r="AA973" i="1"/>
  <c r="AA972" i="1"/>
  <c r="AA971" i="1"/>
  <c r="AA970" i="1"/>
  <c r="AA969" i="1"/>
  <c r="AA968" i="1"/>
  <c r="AA967" i="1"/>
  <c r="AA966" i="1"/>
  <c r="AA965" i="1"/>
  <c r="AA964" i="1"/>
  <c r="AA963" i="1"/>
  <c r="AA962" i="1"/>
  <c r="AA961" i="1"/>
  <c r="AA960" i="1"/>
  <c r="AA959" i="1"/>
  <c r="AA958" i="1"/>
  <c r="AA957" i="1"/>
  <c r="AA956" i="1"/>
  <c r="AA955" i="1"/>
  <c r="AA954" i="1"/>
  <c r="AA953" i="1"/>
  <c r="AA952" i="1"/>
  <c r="AA951" i="1"/>
  <c r="AA950" i="1"/>
  <c r="AA949" i="1"/>
  <c r="AA948" i="1"/>
  <c r="AA947" i="1"/>
  <c r="AA946" i="1"/>
  <c r="AA945" i="1"/>
  <c r="AA944" i="1"/>
  <c r="AA943" i="1"/>
  <c r="AA942" i="1"/>
  <c r="AA941" i="1"/>
  <c r="AA940" i="1"/>
  <c r="AA939" i="1"/>
  <c r="AA938" i="1"/>
  <c r="AA937" i="1"/>
  <c r="AA936" i="1"/>
  <c r="AA935" i="1"/>
  <c r="AA934" i="1"/>
  <c r="AA933" i="1"/>
  <c r="AA932" i="1"/>
  <c r="AA931" i="1"/>
  <c r="AA930" i="1"/>
  <c r="AA929" i="1"/>
  <c r="AA928" i="1"/>
  <c r="AA927" i="1"/>
  <c r="AA926" i="1"/>
  <c r="AA925" i="1"/>
  <c r="AA924" i="1"/>
  <c r="AA923" i="1"/>
  <c r="AA922" i="1"/>
  <c r="AA921" i="1"/>
  <c r="AA920" i="1"/>
  <c r="AA919" i="1"/>
  <c r="AA918" i="1"/>
  <c r="AA917" i="1"/>
  <c r="AA916" i="1"/>
  <c r="AA915" i="1"/>
  <c r="AA914" i="1"/>
  <c r="AA913" i="1"/>
  <c r="AA912" i="1"/>
  <c r="AA911" i="1"/>
  <c r="AA910" i="1"/>
  <c r="AA909" i="1"/>
  <c r="AA908" i="1"/>
  <c r="AA907" i="1"/>
  <c r="AA906" i="1"/>
  <c r="AA905" i="1"/>
  <c r="AA904" i="1"/>
  <c r="AA903" i="1"/>
  <c r="AA902" i="1"/>
  <c r="AA901" i="1"/>
  <c r="AA900" i="1"/>
  <c r="AA899" i="1"/>
  <c r="AA898" i="1"/>
  <c r="AA897" i="1"/>
  <c r="AA896" i="1"/>
  <c r="AA895" i="1"/>
  <c r="AA894" i="1"/>
  <c r="AA893" i="1"/>
  <c r="AA892" i="1"/>
  <c r="AA891" i="1"/>
  <c r="AA890" i="1"/>
  <c r="AA889" i="1"/>
  <c r="AA888" i="1"/>
  <c r="AA887" i="1"/>
  <c r="AA886" i="1"/>
  <c r="AA885" i="1"/>
  <c r="AA884" i="1"/>
  <c r="AA883" i="1"/>
  <c r="AA882" i="1"/>
  <c r="AA881" i="1"/>
  <c r="AA880" i="1"/>
  <c r="AA879" i="1"/>
  <c r="AA878" i="1"/>
  <c r="AA877" i="1"/>
  <c r="AA876" i="1"/>
  <c r="AA875" i="1"/>
  <c r="AA874" i="1"/>
  <c r="AA873" i="1"/>
  <c r="AA872" i="1"/>
  <c r="AA871" i="1"/>
  <c r="AA870" i="1"/>
  <c r="AA869" i="1"/>
  <c r="AA868" i="1"/>
  <c r="AA867" i="1"/>
  <c r="AA866" i="1"/>
  <c r="AA865" i="1"/>
  <c r="AA864" i="1"/>
  <c r="AA863" i="1"/>
  <c r="AA862" i="1"/>
  <c r="AA861" i="1"/>
  <c r="AA860" i="1"/>
  <c r="AA859" i="1"/>
  <c r="AA858" i="1"/>
  <c r="AA857" i="1"/>
  <c r="AA856" i="1"/>
  <c r="AA855" i="1"/>
  <c r="AA854" i="1"/>
  <c r="AA853" i="1"/>
  <c r="AA852" i="1"/>
  <c r="AA851" i="1"/>
  <c r="AA850" i="1"/>
  <c r="AA849" i="1"/>
  <c r="AA848" i="1"/>
  <c r="AA847" i="1"/>
  <c r="AA846" i="1"/>
  <c r="AA845" i="1"/>
  <c r="AA844" i="1"/>
  <c r="AA843" i="1"/>
  <c r="AA842" i="1"/>
  <c r="AA841" i="1"/>
  <c r="AA840" i="1"/>
  <c r="AA839" i="1"/>
  <c r="AA838" i="1"/>
  <c r="AA837" i="1"/>
  <c r="AA836" i="1"/>
  <c r="AA835" i="1"/>
  <c r="AA834" i="1"/>
  <c r="AA833" i="1"/>
  <c r="AA832" i="1"/>
  <c r="AA831" i="1"/>
  <c r="AA830" i="1"/>
  <c r="AA829" i="1"/>
  <c r="AA828" i="1"/>
  <c r="AA827" i="1"/>
  <c r="AA826" i="1"/>
  <c r="AA825" i="1"/>
  <c r="AA824" i="1"/>
  <c r="AA823" i="1"/>
  <c r="AA822" i="1"/>
  <c r="AA821" i="1"/>
  <c r="AA820" i="1"/>
  <c r="AA819" i="1"/>
  <c r="AA818" i="1"/>
  <c r="AA817" i="1"/>
  <c r="AA816" i="1"/>
  <c r="AA815" i="1"/>
  <c r="AA814" i="1"/>
  <c r="AA813" i="1"/>
  <c r="AA812" i="1"/>
  <c r="AA811" i="1"/>
  <c r="AA810" i="1"/>
  <c r="AA809" i="1"/>
  <c r="AA808" i="1"/>
  <c r="AA807" i="1"/>
  <c r="AA806" i="1"/>
  <c r="AA805" i="1"/>
  <c r="AA804" i="1"/>
  <c r="AA803" i="1"/>
  <c r="AA802" i="1"/>
  <c r="AA801" i="1"/>
  <c r="AA800" i="1"/>
  <c r="AA799" i="1"/>
  <c r="AA798" i="1"/>
  <c r="AA797" i="1"/>
  <c r="AA796" i="1"/>
  <c r="AA795" i="1"/>
  <c r="AA794" i="1"/>
  <c r="AA793" i="1"/>
  <c r="AA792" i="1"/>
  <c r="AA791" i="1"/>
  <c r="AA790" i="1"/>
  <c r="AA789" i="1"/>
  <c r="AA788" i="1"/>
  <c r="AA787" i="1"/>
  <c r="AA786" i="1"/>
  <c r="AA785" i="1"/>
  <c r="AA784" i="1"/>
  <c r="AA783" i="1"/>
  <c r="AA782" i="1"/>
  <c r="AA781" i="1"/>
  <c r="AA780" i="1"/>
  <c r="AA779" i="1"/>
  <c r="AA778" i="1"/>
  <c r="AA777" i="1"/>
  <c r="AA776" i="1"/>
  <c r="AA775" i="1"/>
  <c r="AA774" i="1"/>
  <c r="AA773" i="1"/>
  <c r="AA772" i="1"/>
  <c r="AA771" i="1"/>
  <c r="AA770" i="1"/>
  <c r="AA769" i="1"/>
  <c r="AA768" i="1"/>
  <c r="AA767" i="1"/>
  <c r="AA766" i="1"/>
  <c r="AA765" i="1"/>
  <c r="AA764" i="1"/>
  <c r="AA763" i="1"/>
  <c r="AA762" i="1"/>
  <c r="AA761" i="1"/>
  <c r="AA760" i="1"/>
  <c r="AA759" i="1"/>
  <c r="AA758" i="1"/>
  <c r="AA757" i="1"/>
  <c r="AA756" i="1"/>
  <c r="AA755" i="1"/>
  <c r="AA754" i="1"/>
  <c r="AA753" i="1"/>
  <c r="AA752" i="1"/>
  <c r="AA751" i="1"/>
  <c r="AA750" i="1"/>
  <c r="AA749" i="1"/>
  <c r="AA748" i="1"/>
  <c r="AA747" i="1"/>
  <c r="AA746" i="1"/>
  <c r="AA745" i="1"/>
  <c r="AA744" i="1"/>
  <c r="AA743" i="1"/>
  <c r="AA742" i="1"/>
  <c r="AA741" i="1"/>
  <c r="AA740" i="1"/>
  <c r="AA739" i="1"/>
  <c r="AA738" i="1"/>
  <c r="AA737" i="1"/>
  <c r="AA736" i="1"/>
  <c r="AA735" i="1"/>
  <c r="AA734" i="1"/>
  <c r="AA733" i="1"/>
  <c r="AA732" i="1"/>
  <c r="AA731" i="1"/>
  <c r="AA730" i="1"/>
  <c r="AA729" i="1"/>
  <c r="AA728" i="1"/>
  <c r="AA727" i="1"/>
  <c r="AA726" i="1"/>
  <c r="AA725" i="1"/>
  <c r="AA724" i="1"/>
  <c r="AA723" i="1"/>
  <c r="AA722" i="1"/>
  <c r="AA721" i="1"/>
  <c r="AA720" i="1"/>
  <c r="AA719" i="1"/>
  <c r="AA718" i="1"/>
  <c r="AA717" i="1"/>
  <c r="AA716" i="1"/>
  <c r="AA715" i="1"/>
  <c r="AA714" i="1"/>
  <c r="AA713" i="1"/>
  <c r="AA712" i="1"/>
  <c r="AA711" i="1"/>
  <c r="AA710" i="1"/>
  <c r="AA709" i="1"/>
  <c r="AA708" i="1"/>
  <c r="AA707" i="1"/>
  <c r="AA706" i="1"/>
  <c r="AA705" i="1"/>
  <c r="AA704" i="1"/>
  <c r="AA703" i="1"/>
  <c r="AA702" i="1"/>
  <c r="AA701" i="1"/>
  <c r="AA700" i="1"/>
  <c r="AA699" i="1"/>
  <c r="AA698" i="1"/>
  <c r="AA697" i="1"/>
  <c r="AA696" i="1"/>
  <c r="AA695" i="1"/>
  <c r="AA694" i="1"/>
  <c r="AA693" i="1"/>
  <c r="AA692" i="1"/>
  <c r="AA691" i="1"/>
  <c r="AA690" i="1"/>
  <c r="AA689" i="1"/>
  <c r="AA688" i="1"/>
  <c r="AA687" i="1"/>
  <c r="AA686" i="1"/>
  <c r="AA685" i="1"/>
  <c r="AA684" i="1"/>
  <c r="AA683" i="1"/>
  <c r="AA682" i="1"/>
  <c r="AA681" i="1"/>
  <c r="AA680" i="1"/>
  <c r="AA679" i="1"/>
  <c r="AA678" i="1"/>
  <c r="AA677" i="1"/>
  <c r="AA676" i="1"/>
  <c r="AA675" i="1"/>
  <c r="AA674" i="1"/>
  <c r="AA673" i="1"/>
  <c r="AA672" i="1"/>
  <c r="AA671" i="1"/>
  <c r="AA670" i="1"/>
  <c r="AA669" i="1"/>
  <c r="AA668" i="1"/>
  <c r="AA667" i="1"/>
  <c r="AA666" i="1"/>
  <c r="AA665" i="1"/>
  <c r="AA664" i="1"/>
  <c r="AA663" i="1"/>
  <c r="AA662" i="1"/>
  <c r="AA661" i="1"/>
  <c r="AA660" i="1"/>
  <c r="AA659" i="1"/>
  <c r="AA658" i="1"/>
  <c r="AA657" i="1"/>
  <c r="AA656" i="1"/>
  <c r="AA655" i="1"/>
  <c r="AA654" i="1"/>
  <c r="AA653" i="1"/>
  <c r="AA652" i="1"/>
  <c r="AA651" i="1"/>
  <c r="AA650" i="1"/>
  <c r="AA649" i="1"/>
  <c r="AA648" i="1"/>
  <c r="AA647" i="1"/>
  <c r="AA646" i="1"/>
  <c r="AA645" i="1"/>
  <c r="AA644" i="1"/>
  <c r="AA643" i="1"/>
  <c r="AA642" i="1"/>
  <c r="AA641" i="1"/>
  <c r="AA640" i="1"/>
  <c r="AA639" i="1"/>
  <c r="AA638" i="1"/>
  <c r="AA637" i="1"/>
  <c r="AA636" i="1"/>
  <c r="AA635" i="1"/>
  <c r="AA634" i="1"/>
  <c r="AA633" i="1"/>
  <c r="AA632" i="1"/>
  <c r="AA631" i="1"/>
  <c r="AA630" i="1"/>
  <c r="AA629" i="1"/>
  <c r="AA628" i="1"/>
  <c r="AA627" i="1"/>
  <c r="AA626" i="1"/>
  <c r="AA625" i="1"/>
  <c r="AA624" i="1"/>
  <c r="AA623" i="1"/>
  <c r="AA622" i="1"/>
  <c r="AA621" i="1"/>
  <c r="AA620" i="1"/>
  <c r="AA619" i="1"/>
  <c r="AA618" i="1"/>
  <c r="AA617" i="1"/>
  <c r="AA616" i="1"/>
  <c r="AA615" i="1"/>
  <c r="AA614" i="1"/>
  <c r="AA613" i="1"/>
  <c r="AA612" i="1"/>
  <c r="AA611" i="1"/>
  <c r="AA610" i="1"/>
  <c r="AA609" i="1"/>
  <c r="AA608" i="1"/>
  <c r="AA607" i="1"/>
  <c r="AA606" i="1"/>
  <c r="AA605" i="1"/>
  <c r="AA604" i="1"/>
  <c r="AA603" i="1"/>
  <c r="AA602" i="1"/>
  <c r="AA601" i="1"/>
  <c r="AA600" i="1"/>
  <c r="AA599" i="1"/>
  <c r="AA598" i="1"/>
  <c r="AA597" i="1"/>
  <c r="AA596" i="1"/>
  <c r="AA595" i="1"/>
  <c r="AA594" i="1"/>
  <c r="AA593" i="1"/>
  <c r="AA592" i="1"/>
  <c r="AA591" i="1"/>
  <c r="AA590" i="1"/>
  <c r="AA589" i="1"/>
  <c r="AA588" i="1"/>
  <c r="AA587" i="1"/>
  <c r="AA586" i="1"/>
  <c r="AA585" i="1"/>
  <c r="AA584" i="1"/>
  <c r="AA583" i="1"/>
  <c r="AA582" i="1"/>
  <c r="AA581" i="1"/>
  <c r="AA580" i="1"/>
  <c r="AA579" i="1"/>
  <c r="AA578" i="1"/>
  <c r="AA577" i="1"/>
  <c r="AA576" i="1"/>
  <c r="AA575" i="1"/>
  <c r="AA574" i="1"/>
  <c r="AA573" i="1"/>
  <c r="AA572" i="1"/>
  <c r="AA571" i="1"/>
  <c r="AA570" i="1"/>
  <c r="AA569" i="1"/>
  <c r="AA568" i="1"/>
  <c r="AA567" i="1"/>
  <c r="AA566" i="1"/>
  <c r="AA565" i="1"/>
  <c r="AA564" i="1"/>
  <c r="AA563" i="1"/>
  <c r="AA562" i="1"/>
  <c r="AA561" i="1"/>
  <c r="AA560" i="1"/>
  <c r="AA559" i="1"/>
  <c r="AA558" i="1"/>
  <c r="AA557" i="1"/>
  <c r="AA556" i="1"/>
  <c r="AA555" i="1"/>
  <c r="AA554" i="1"/>
  <c r="AA553" i="1"/>
  <c r="AA552" i="1"/>
  <c r="AA551" i="1"/>
  <c r="AA550" i="1"/>
  <c r="AA549" i="1"/>
  <c r="AA548" i="1"/>
  <c r="AA547" i="1"/>
  <c r="AA546" i="1"/>
  <c r="AA545" i="1"/>
  <c r="AA544" i="1"/>
  <c r="AA543" i="1"/>
  <c r="AA542" i="1"/>
  <c r="AA541" i="1"/>
  <c r="AA540" i="1"/>
  <c r="AA539" i="1"/>
  <c r="AA538" i="1"/>
  <c r="AA537" i="1"/>
  <c r="AA536" i="1"/>
  <c r="AA535" i="1"/>
  <c r="AA534" i="1"/>
  <c r="AA533" i="1"/>
  <c r="AA532" i="1"/>
  <c r="AA531" i="1"/>
  <c r="AA530" i="1"/>
  <c r="AA529" i="1"/>
  <c r="AA528" i="1"/>
  <c r="AA527" i="1"/>
  <c r="AA526" i="1"/>
  <c r="AA525" i="1"/>
  <c r="AA524" i="1"/>
  <c r="AA523" i="1"/>
  <c r="AA522" i="1"/>
  <c r="AA521" i="1"/>
  <c r="AA520" i="1"/>
  <c r="AA519" i="1"/>
  <c r="AA518" i="1"/>
  <c r="AA517" i="1"/>
  <c r="AA516" i="1"/>
  <c r="AA515" i="1"/>
  <c r="AA514" i="1"/>
  <c r="AA513" i="1"/>
  <c r="AA512" i="1"/>
  <c r="AA511" i="1"/>
  <c r="AA510" i="1"/>
  <c r="AA509" i="1"/>
  <c r="AA508" i="1"/>
  <c r="AA507" i="1"/>
  <c r="AA506" i="1"/>
  <c r="AA505" i="1"/>
  <c r="AA504" i="1"/>
  <c r="AA503" i="1"/>
  <c r="AA502" i="1"/>
  <c r="AA501" i="1"/>
  <c r="AA500" i="1"/>
  <c r="AA499" i="1"/>
  <c r="AA498" i="1"/>
  <c r="AA497" i="1"/>
  <c r="AA496" i="1"/>
  <c r="AA495" i="1"/>
  <c r="AA494" i="1"/>
  <c r="AA493" i="1"/>
  <c r="AA492" i="1"/>
  <c r="AA491" i="1"/>
  <c r="AA490" i="1"/>
  <c r="AA489" i="1"/>
  <c r="AA488" i="1"/>
  <c r="AA487" i="1"/>
  <c r="AA486" i="1"/>
  <c r="AA485" i="1"/>
  <c r="AA484" i="1"/>
  <c r="AA483" i="1"/>
  <c r="AA482" i="1"/>
  <c r="AA481" i="1"/>
  <c r="AA480" i="1"/>
  <c r="AA479" i="1"/>
  <c r="AA478" i="1"/>
  <c r="AA477" i="1"/>
  <c r="AA476" i="1"/>
  <c r="AA475" i="1"/>
  <c r="AA474" i="1"/>
  <c r="AA473" i="1"/>
  <c r="AA472" i="1"/>
  <c r="AA471" i="1"/>
  <c r="AA470" i="1"/>
  <c r="AA469" i="1"/>
  <c r="AA468" i="1"/>
  <c r="AA467" i="1"/>
  <c r="AA466" i="1"/>
  <c r="AA465" i="1"/>
  <c r="AA464" i="1"/>
  <c r="AA463" i="1"/>
  <c r="AA462" i="1"/>
  <c r="AA461" i="1"/>
  <c r="AA460" i="1"/>
  <c r="AA459" i="1"/>
  <c r="AA458" i="1"/>
  <c r="AA457" i="1"/>
  <c r="AA456" i="1"/>
  <c r="AA455" i="1"/>
  <c r="AA454" i="1"/>
  <c r="AA453" i="1"/>
  <c r="AA452" i="1"/>
  <c r="AA451" i="1"/>
  <c r="AA450" i="1"/>
  <c r="AA449" i="1"/>
  <c r="AA448" i="1"/>
  <c r="AA447" i="1"/>
  <c r="AA446" i="1"/>
  <c r="AA445" i="1"/>
  <c r="AA444" i="1"/>
  <c r="AA443" i="1"/>
  <c r="AA442" i="1"/>
  <c r="AA441" i="1"/>
  <c r="AA440" i="1"/>
  <c r="AA439" i="1"/>
  <c r="AA438" i="1"/>
  <c r="AA437" i="1"/>
  <c r="AA436" i="1"/>
  <c r="AA435" i="1"/>
  <c r="AA434" i="1"/>
  <c r="AA433" i="1"/>
  <c r="AA432" i="1"/>
  <c r="AA431" i="1"/>
  <c r="AA430" i="1"/>
  <c r="AA429" i="1"/>
  <c r="AA428" i="1"/>
  <c r="AA427" i="1"/>
  <c r="AA426" i="1"/>
  <c r="AA425" i="1"/>
  <c r="AA424" i="1"/>
  <c r="AA423" i="1"/>
  <c r="AA422" i="1"/>
  <c r="AA421" i="1"/>
  <c r="AA420" i="1"/>
  <c r="AA419" i="1"/>
  <c r="AA418" i="1"/>
  <c r="AA417" i="1"/>
  <c r="AA416" i="1"/>
  <c r="AA415" i="1"/>
  <c r="AA414" i="1"/>
  <c r="AA413" i="1"/>
  <c r="AA412" i="1"/>
  <c r="AA411" i="1"/>
  <c r="AA410" i="1"/>
  <c r="AA409" i="1"/>
  <c r="AA408" i="1"/>
  <c r="AA407" i="1"/>
  <c r="AA406" i="1"/>
  <c r="AA405" i="1"/>
  <c r="AA404" i="1"/>
  <c r="AA403" i="1"/>
  <c r="AA402" i="1"/>
  <c r="AA401" i="1"/>
  <c r="AA400" i="1"/>
  <c r="AA399" i="1"/>
  <c r="AA398" i="1"/>
  <c r="AA397" i="1"/>
  <c r="AA396" i="1"/>
  <c r="AA395" i="1"/>
  <c r="AA394" i="1"/>
  <c r="AA393" i="1"/>
  <c r="AA392" i="1"/>
  <c r="AA391" i="1"/>
  <c r="AA390" i="1"/>
  <c r="AA389" i="1"/>
  <c r="AA388" i="1"/>
  <c r="AA387" i="1"/>
  <c r="AA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73" i="1"/>
  <c r="AA372" i="1"/>
  <c r="AA371" i="1"/>
  <c r="AA370" i="1"/>
  <c r="AA369" i="1"/>
  <c r="AA368" i="1"/>
  <c r="AA367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U1294" i="1"/>
  <c r="U1293" i="1"/>
  <c r="U1292" i="1"/>
  <c r="U1291" i="1"/>
  <c r="U1290" i="1"/>
  <c r="U1289" i="1"/>
  <c r="U1288" i="1"/>
  <c r="U1287" i="1"/>
  <c r="U1286" i="1"/>
  <c r="U1285" i="1"/>
  <c r="U1284" i="1"/>
  <c r="U1283" i="1"/>
  <c r="U1282" i="1"/>
  <c r="U1281" i="1"/>
  <c r="U1280" i="1"/>
  <c r="U1279" i="1"/>
  <c r="U1278" i="1"/>
  <c r="U1277" i="1"/>
  <c r="U1276" i="1"/>
  <c r="U1275" i="1"/>
  <c r="U1274" i="1"/>
  <c r="U1273" i="1"/>
  <c r="U1272" i="1"/>
  <c r="U1271" i="1"/>
  <c r="U1270" i="1"/>
  <c r="U1269" i="1"/>
  <c r="U1268" i="1"/>
  <c r="U1267" i="1"/>
  <c r="U1266" i="1"/>
  <c r="U1265" i="1"/>
  <c r="U1264" i="1"/>
  <c r="U1263" i="1"/>
  <c r="U1262" i="1"/>
  <c r="U1261" i="1"/>
  <c r="U1260" i="1"/>
  <c r="U1259" i="1"/>
  <c r="U1258" i="1"/>
  <c r="U1257" i="1"/>
  <c r="U1256" i="1"/>
  <c r="U1255" i="1"/>
  <c r="U1254" i="1"/>
  <c r="U1253" i="1"/>
  <c r="U1252" i="1"/>
  <c r="U1251" i="1"/>
  <c r="U1250" i="1"/>
  <c r="U1249" i="1"/>
  <c r="U1248" i="1"/>
  <c r="U1247" i="1"/>
  <c r="U1246" i="1"/>
  <c r="U1245" i="1"/>
  <c r="U1244" i="1"/>
  <c r="U1243" i="1"/>
  <c r="U1242" i="1"/>
  <c r="U1241" i="1"/>
  <c r="U1240" i="1"/>
  <c r="U1239" i="1"/>
  <c r="U1238" i="1"/>
  <c r="U1237" i="1"/>
  <c r="U1236" i="1"/>
  <c r="U1235" i="1"/>
  <c r="U1234" i="1"/>
  <c r="U1233" i="1"/>
  <c r="U1232" i="1"/>
  <c r="U1231" i="1"/>
  <c r="U1230" i="1"/>
  <c r="U1229" i="1"/>
  <c r="U1228" i="1"/>
  <c r="U1227" i="1"/>
  <c r="U1226" i="1"/>
  <c r="U1225" i="1"/>
  <c r="U1224" i="1"/>
  <c r="U1223" i="1"/>
  <c r="U1222" i="1"/>
  <c r="U1221" i="1"/>
  <c r="U1220" i="1"/>
  <c r="U1219" i="1"/>
  <c r="U1218" i="1"/>
  <c r="U1217" i="1"/>
  <c r="U1216" i="1"/>
  <c r="U1215" i="1"/>
  <c r="U1214" i="1"/>
  <c r="U1213" i="1"/>
  <c r="U1212" i="1"/>
  <c r="U1211" i="1"/>
  <c r="U1210" i="1"/>
  <c r="U1209" i="1"/>
  <c r="U1208" i="1"/>
  <c r="U1207" i="1"/>
  <c r="U1206" i="1"/>
  <c r="U1205" i="1"/>
  <c r="U1204" i="1"/>
  <c r="U1203" i="1"/>
  <c r="U1202" i="1"/>
  <c r="U1201" i="1"/>
  <c r="U1200" i="1"/>
  <c r="U1199" i="1"/>
  <c r="U1198" i="1"/>
  <c r="U1197" i="1"/>
  <c r="U1196" i="1"/>
  <c r="U1195" i="1"/>
  <c r="U1194" i="1"/>
  <c r="U1193" i="1"/>
  <c r="U1192" i="1"/>
  <c r="U1191" i="1"/>
  <c r="U1190" i="1"/>
  <c r="U1189" i="1"/>
  <c r="U1188" i="1"/>
  <c r="U1187" i="1"/>
  <c r="U1186" i="1"/>
  <c r="U1185" i="1"/>
  <c r="U1184" i="1"/>
  <c r="U1183" i="1"/>
  <c r="U1182" i="1"/>
  <c r="U1181" i="1"/>
  <c r="U1180" i="1"/>
  <c r="U1179" i="1"/>
  <c r="U1178" i="1"/>
  <c r="U1177" i="1"/>
  <c r="U1176" i="1"/>
  <c r="U1175" i="1"/>
  <c r="U1174" i="1"/>
  <c r="U1173" i="1"/>
  <c r="U1172" i="1"/>
  <c r="U1171" i="1"/>
  <c r="U1170" i="1"/>
  <c r="U1169" i="1"/>
  <c r="U1168" i="1"/>
  <c r="U1167" i="1"/>
  <c r="U1166" i="1"/>
  <c r="U1165" i="1"/>
  <c r="U1164" i="1"/>
  <c r="U1163" i="1"/>
  <c r="U1162" i="1"/>
  <c r="U1161" i="1"/>
  <c r="U1160" i="1"/>
  <c r="U1159" i="1"/>
  <c r="U1158" i="1"/>
  <c r="U1157" i="1"/>
  <c r="U1156" i="1"/>
  <c r="U1155" i="1"/>
  <c r="U1154" i="1"/>
  <c r="U1153" i="1"/>
  <c r="U1152" i="1"/>
  <c r="U1151" i="1"/>
  <c r="U1150" i="1"/>
  <c r="U1149" i="1"/>
  <c r="U1148" i="1"/>
  <c r="U1147" i="1"/>
  <c r="U1146" i="1"/>
  <c r="U1145" i="1"/>
  <c r="U1144" i="1"/>
  <c r="U1143" i="1"/>
  <c r="U1142" i="1"/>
  <c r="U1141" i="1"/>
  <c r="U1140" i="1"/>
  <c r="U1139" i="1"/>
  <c r="U1138" i="1"/>
  <c r="U1137" i="1"/>
  <c r="U1136" i="1"/>
  <c r="U1135" i="1"/>
  <c r="U1134" i="1"/>
  <c r="U1133" i="1"/>
  <c r="U1132" i="1"/>
  <c r="U1131" i="1"/>
  <c r="U1130" i="1"/>
  <c r="U1129" i="1"/>
  <c r="U1128" i="1"/>
  <c r="U1127" i="1"/>
  <c r="U1126" i="1"/>
  <c r="U1125" i="1"/>
  <c r="U1124" i="1"/>
  <c r="U1123" i="1"/>
  <c r="U1122" i="1"/>
  <c r="U1121" i="1"/>
  <c r="U1120" i="1"/>
  <c r="U1119" i="1"/>
  <c r="U1118" i="1"/>
  <c r="U1117" i="1"/>
  <c r="U1116" i="1"/>
  <c r="U1115" i="1"/>
  <c r="U1114" i="1"/>
  <c r="U1113" i="1"/>
  <c r="U1112" i="1"/>
  <c r="U1111" i="1"/>
  <c r="U1110" i="1"/>
  <c r="U1109" i="1"/>
  <c r="U1108" i="1"/>
  <c r="U1107" i="1"/>
  <c r="U1106" i="1"/>
  <c r="U1105" i="1"/>
  <c r="U1104" i="1"/>
  <c r="U1103" i="1"/>
  <c r="U1102" i="1"/>
  <c r="U1101" i="1"/>
  <c r="U1100" i="1"/>
  <c r="U1099" i="1"/>
  <c r="U1098" i="1"/>
  <c r="U1097" i="1"/>
  <c r="U1096" i="1"/>
  <c r="U1095" i="1"/>
  <c r="U1094" i="1"/>
  <c r="U1093" i="1"/>
  <c r="U1092" i="1"/>
  <c r="U1091" i="1"/>
  <c r="U1090" i="1"/>
  <c r="U1089" i="1"/>
  <c r="U1088" i="1"/>
  <c r="U1087" i="1"/>
  <c r="U1086" i="1"/>
  <c r="U1085" i="1"/>
  <c r="U1084" i="1"/>
  <c r="U1083" i="1"/>
  <c r="U1082" i="1"/>
  <c r="U1081" i="1"/>
  <c r="U1080" i="1"/>
  <c r="U1079" i="1"/>
  <c r="U1078" i="1"/>
  <c r="U1077" i="1"/>
  <c r="U1076" i="1"/>
  <c r="U1075" i="1"/>
  <c r="U1074" i="1"/>
  <c r="U1073" i="1"/>
  <c r="U1072" i="1"/>
  <c r="U1071" i="1"/>
  <c r="U1070" i="1"/>
  <c r="U1069" i="1"/>
  <c r="U1068" i="1"/>
  <c r="U1067" i="1"/>
  <c r="U1066" i="1"/>
  <c r="U1065" i="1"/>
  <c r="U1064" i="1"/>
  <c r="U1063" i="1"/>
  <c r="U1062" i="1"/>
  <c r="U1061" i="1"/>
  <c r="U1060" i="1"/>
  <c r="U1059" i="1"/>
  <c r="U1058" i="1"/>
  <c r="U1057" i="1"/>
  <c r="U1056" i="1"/>
  <c r="U1055" i="1"/>
  <c r="U1054" i="1"/>
  <c r="U1053" i="1"/>
  <c r="U1052" i="1"/>
  <c r="U1051" i="1"/>
  <c r="U1050" i="1"/>
  <c r="U1049" i="1"/>
  <c r="U1048" i="1"/>
  <c r="U1047" i="1"/>
  <c r="U1046" i="1"/>
  <c r="U1045" i="1"/>
  <c r="U1044" i="1"/>
  <c r="U1043" i="1"/>
  <c r="U1042" i="1"/>
  <c r="U1041" i="1"/>
  <c r="U1040" i="1"/>
  <c r="U1039" i="1"/>
  <c r="U1038" i="1"/>
  <c r="U1037" i="1"/>
  <c r="U1036" i="1"/>
  <c r="U1035" i="1"/>
  <c r="U1034" i="1"/>
  <c r="U1033" i="1"/>
  <c r="U1032" i="1"/>
  <c r="U1031" i="1"/>
  <c r="U1030" i="1"/>
  <c r="U1029" i="1"/>
  <c r="U1028" i="1"/>
  <c r="U1027" i="1"/>
  <c r="U1026" i="1"/>
  <c r="U1025" i="1"/>
  <c r="U1024" i="1"/>
  <c r="U1023" i="1"/>
  <c r="U1022" i="1"/>
  <c r="U1021" i="1"/>
  <c r="U1020" i="1"/>
  <c r="U1019" i="1"/>
  <c r="U1018" i="1"/>
  <c r="U1017" i="1"/>
  <c r="U1016" i="1"/>
  <c r="U1015" i="1"/>
  <c r="U1014" i="1"/>
  <c r="U1013" i="1"/>
  <c r="U1012" i="1"/>
  <c r="U1011" i="1"/>
  <c r="U1010" i="1"/>
  <c r="U1009" i="1"/>
  <c r="U1008" i="1"/>
  <c r="U1007" i="1"/>
  <c r="U1006" i="1"/>
  <c r="U1005" i="1"/>
  <c r="U1004" i="1"/>
  <c r="U1003" i="1"/>
  <c r="U1002" i="1"/>
  <c r="U1001" i="1"/>
  <c r="U1000" i="1"/>
  <c r="U999" i="1"/>
  <c r="U998" i="1"/>
  <c r="U997" i="1"/>
  <c r="U996" i="1"/>
  <c r="U995" i="1"/>
  <c r="U994" i="1"/>
  <c r="U993" i="1"/>
  <c r="U992" i="1"/>
  <c r="U991" i="1"/>
  <c r="U990" i="1"/>
  <c r="U989" i="1"/>
  <c r="U988" i="1"/>
  <c r="U987" i="1"/>
  <c r="U986" i="1"/>
  <c r="U985" i="1"/>
  <c r="U984" i="1"/>
  <c r="U983" i="1"/>
  <c r="U982" i="1"/>
  <c r="U981" i="1"/>
  <c r="U980" i="1"/>
  <c r="U979" i="1"/>
  <c r="U978" i="1"/>
  <c r="U977" i="1"/>
  <c r="U976" i="1"/>
  <c r="U975" i="1"/>
  <c r="U974" i="1"/>
  <c r="U973" i="1"/>
  <c r="U972" i="1"/>
  <c r="U971" i="1"/>
  <c r="U970" i="1"/>
  <c r="U969" i="1"/>
  <c r="U968" i="1"/>
  <c r="U967" i="1"/>
  <c r="U966" i="1"/>
  <c r="U965" i="1"/>
  <c r="U964" i="1"/>
  <c r="U963" i="1"/>
  <c r="U962" i="1"/>
  <c r="U961" i="1"/>
  <c r="U960" i="1"/>
  <c r="U959" i="1"/>
  <c r="U958" i="1"/>
  <c r="U957" i="1"/>
  <c r="U956" i="1"/>
  <c r="U955" i="1"/>
  <c r="U954" i="1"/>
  <c r="U953" i="1"/>
  <c r="U952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U765" i="1"/>
  <c r="U764" i="1"/>
  <c r="U763" i="1"/>
  <c r="U762" i="1"/>
  <c r="U761" i="1"/>
  <c r="U760" i="1"/>
  <c r="U759" i="1"/>
  <c r="U758" i="1"/>
  <c r="U757" i="1"/>
  <c r="U756" i="1"/>
  <c r="U755" i="1"/>
  <c r="U754" i="1"/>
  <c r="U753" i="1"/>
  <c r="U752" i="1"/>
  <c r="U751" i="1"/>
  <c r="U750" i="1"/>
  <c r="U749" i="1"/>
  <c r="U748" i="1"/>
  <c r="U747" i="1"/>
  <c r="U746" i="1"/>
  <c r="U745" i="1"/>
  <c r="U744" i="1"/>
  <c r="U743" i="1"/>
  <c r="U742" i="1"/>
  <c r="U741" i="1"/>
  <c r="U740" i="1"/>
  <c r="U739" i="1"/>
  <c r="U738" i="1"/>
  <c r="U737" i="1"/>
  <c r="U736" i="1"/>
  <c r="U735" i="1"/>
  <c r="U734" i="1"/>
  <c r="U733" i="1"/>
  <c r="U732" i="1"/>
  <c r="U731" i="1"/>
  <c r="U730" i="1"/>
  <c r="U729" i="1"/>
  <c r="U728" i="1"/>
  <c r="U727" i="1"/>
  <c r="U726" i="1"/>
  <c r="U725" i="1"/>
  <c r="U724" i="1"/>
  <c r="U723" i="1"/>
  <c r="U722" i="1"/>
  <c r="U721" i="1"/>
  <c r="U720" i="1"/>
  <c r="U719" i="1"/>
  <c r="U718" i="1"/>
  <c r="U717" i="1"/>
  <c r="U716" i="1"/>
  <c r="U715" i="1"/>
  <c r="U714" i="1"/>
  <c r="U713" i="1"/>
  <c r="U712" i="1"/>
  <c r="U711" i="1"/>
  <c r="U710" i="1"/>
  <c r="U709" i="1"/>
  <c r="U708" i="1"/>
  <c r="U707" i="1"/>
  <c r="U706" i="1"/>
  <c r="U705" i="1"/>
  <c r="U704" i="1"/>
  <c r="U703" i="1"/>
  <c r="U702" i="1"/>
  <c r="U701" i="1"/>
  <c r="U700" i="1"/>
  <c r="U699" i="1"/>
  <c r="U698" i="1"/>
  <c r="U697" i="1"/>
  <c r="U696" i="1"/>
  <c r="U695" i="1"/>
  <c r="U694" i="1"/>
  <c r="U693" i="1"/>
  <c r="U692" i="1"/>
  <c r="U691" i="1"/>
  <c r="U690" i="1"/>
  <c r="U689" i="1"/>
  <c r="U688" i="1"/>
  <c r="U687" i="1"/>
  <c r="U686" i="1"/>
  <c r="U685" i="1"/>
  <c r="U684" i="1"/>
  <c r="U683" i="1"/>
  <c r="U682" i="1"/>
  <c r="U681" i="1"/>
  <c r="U680" i="1"/>
  <c r="U679" i="1"/>
  <c r="U678" i="1"/>
  <c r="U677" i="1"/>
  <c r="U676" i="1"/>
  <c r="U675" i="1"/>
  <c r="U674" i="1"/>
  <c r="U673" i="1"/>
  <c r="U672" i="1"/>
  <c r="U671" i="1"/>
  <c r="U670" i="1"/>
  <c r="U669" i="1"/>
  <c r="U668" i="1"/>
  <c r="U667" i="1"/>
  <c r="U666" i="1"/>
  <c r="U665" i="1"/>
  <c r="U664" i="1"/>
  <c r="U663" i="1"/>
  <c r="U662" i="1"/>
  <c r="U661" i="1"/>
  <c r="U660" i="1"/>
  <c r="U659" i="1"/>
  <c r="U658" i="1"/>
  <c r="U657" i="1"/>
  <c r="U656" i="1"/>
  <c r="U655" i="1"/>
  <c r="U654" i="1"/>
  <c r="U653" i="1"/>
  <c r="U652" i="1"/>
  <c r="U651" i="1"/>
  <c r="U650" i="1"/>
  <c r="U649" i="1"/>
  <c r="U648" i="1"/>
  <c r="U647" i="1"/>
  <c r="U646" i="1"/>
  <c r="U645" i="1"/>
  <c r="U644" i="1"/>
  <c r="U643" i="1"/>
  <c r="U642" i="1"/>
  <c r="U641" i="1"/>
  <c r="U640" i="1"/>
  <c r="U639" i="1"/>
  <c r="U638" i="1"/>
  <c r="U637" i="1"/>
  <c r="U636" i="1"/>
  <c r="U635" i="1"/>
  <c r="U634" i="1"/>
  <c r="U633" i="1"/>
  <c r="U632" i="1"/>
  <c r="U631" i="1"/>
  <c r="U630" i="1"/>
  <c r="U629" i="1"/>
  <c r="U628" i="1"/>
  <c r="U627" i="1"/>
  <c r="U626" i="1"/>
  <c r="U625" i="1"/>
  <c r="U624" i="1"/>
  <c r="U623" i="1"/>
  <c r="U622" i="1"/>
  <c r="U621" i="1"/>
  <c r="U620" i="1"/>
  <c r="U619" i="1"/>
  <c r="U618" i="1"/>
  <c r="U617" i="1"/>
  <c r="U616" i="1"/>
  <c r="U615" i="1"/>
  <c r="U614" i="1"/>
  <c r="U613" i="1"/>
  <c r="U612" i="1"/>
  <c r="U611" i="1"/>
  <c r="U610" i="1"/>
  <c r="U609" i="1"/>
  <c r="U608" i="1"/>
  <c r="U607" i="1"/>
  <c r="U606" i="1"/>
  <c r="U605" i="1"/>
  <c r="U604" i="1"/>
  <c r="U603" i="1"/>
  <c r="U602" i="1"/>
  <c r="U601" i="1"/>
  <c r="U600" i="1"/>
  <c r="U599" i="1"/>
  <c r="U598" i="1"/>
  <c r="U597" i="1"/>
  <c r="U596" i="1"/>
  <c r="U595" i="1"/>
  <c r="U594" i="1"/>
  <c r="U593" i="1"/>
  <c r="U592" i="1"/>
  <c r="U591" i="1"/>
  <c r="U590" i="1"/>
  <c r="U589" i="1"/>
  <c r="U588" i="1"/>
  <c r="U587" i="1"/>
  <c r="U586" i="1"/>
  <c r="U585" i="1"/>
  <c r="U584" i="1"/>
  <c r="U583" i="1"/>
  <c r="U582" i="1"/>
  <c r="U581" i="1"/>
  <c r="U580" i="1"/>
  <c r="U579" i="1"/>
  <c r="U578" i="1"/>
  <c r="U577" i="1"/>
  <c r="U576" i="1"/>
  <c r="U575" i="1"/>
  <c r="U574" i="1"/>
  <c r="U573" i="1"/>
  <c r="U572" i="1"/>
  <c r="U571" i="1"/>
  <c r="U570" i="1"/>
  <c r="U569" i="1"/>
  <c r="U568" i="1"/>
  <c r="U567" i="1"/>
  <c r="U566" i="1"/>
  <c r="U565" i="1"/>
  <c r="U564" i="1"/>
  <c r="U563" i="1"/>
  <c r="U562" i="1"/>
  <c r="U561" i="1"/>
  <c r="U560" i="1"/>
  <c r="U559" i="1"/>
  <c r="U558" i="1"/>
  <c r="U557" i="1"/>
  <c r="U556" i="1"/>
  <c r="U555" i="1"/>
  <c r="U554" i="1"/>
  <c r="U553" i="1"/>
  <c r="U552" i="1"/>
  <c r="U551" i="1"/>
  <c r="U550" i="1"/>
  <c r="U549" i="1"/>
  <c r="U548" i="1"/>
  <c r="U547" i="1"/>
  <c r="U546" i="1"/>
  <c r="U545" i="1"/>
  <c r="U544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530" i="1"/>
  <c r="U529" i="1"/>
  <c r="U528" i="1"/>
  <c r="U527" i="1"/>
  <c r="U526" i="1"/>
  <c r="U525" i="1"/>
  <c r="U524" i="1"/>
  <c r="U523" i="1"/>
  <c r="U522" i="1"/>
  <c r="U521" i="1"/>
  <c r="U520" i="1"/>
  <c r="U519" i="1"/>
  <c r="U518" i="1"/>
  <c r="U517" i="1"/>
  <c r="U516" i="1"/>
  <c r="U515" i="1"/>
  <c r="U514" i="1"/>
  <c r="U513" i="1"/>
  <c r="U512" i="1"/>
  <c r="U511" i="1"/>
  <c r="U510" i="1"/>
  <c r="U509" i="1"/>
  <c r="U508" i="1"/>
  <c r="U507" i="1"/>
  <c r="U506" i="1"/>
  <c r="U505" i="1"/>
  <c r="U504" i="1"/>
  <c r="U503" i="1"/>
  <c r="U502" i="1"/>
  <c r="U501" i="1"/>
  <c r="U500" i="1"/>
  <c r="U499" i="1"/>
  <c r="U498" i="1"/>
  <c r="U497" i="1"/>
  <c r="U496" i="1"/>
  <c r="U495" i="1"/>
  <c r="U494" i="1"/>
  <c r="U493" i="1"/>
  <c r="U492" i="1"/>
  <c r="U491" i="1"/>
  <c r="U490" i="1"/>
  <c r="U489" i="1"/>
  <c r="U488" i="1"/>
  <c r="U487" i="1"/>
  <c r="U486" i="1"/>
  <c r="U485" i="1"/>
  <c r="U484" i="1"/>
  <c r="U483" i="1"/>
  <c r="U482" i="1"/>
  <c r="U481" i="1"/>
  <c r="U480" i="1"/>
  <c r="U479" i="1"/>
  <c r="U478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A2" i="4" l="1"/>
  <c r="B2" i="4"/>
  <c r="B1" i="1" l="1"/>
  <c r="U3" i="1" s="1"/>
  <c r="B2" i="1"/>
  <c r="AA3" i="1" l="1"/>
</calcChain>
</file>

<file path=xl/sharedStrings.xml><?xml version="1.0" encoding="utf-8"?>
<sst xmlns="http://schemas.openxmlformats.org/spreadsheetml/2006/main" count="2186" uniqueCount="597">
  <si>
    <t>フォルダー　名</t>
    <rPh sb="6" eb="7">
      <t>メイ</t>
    </rPh>
    <phoneticPr fontId="1"/>
  </si>
  <si>
    <t>作成日</t>
    <rPh sb="0" eb="3">
      <t>サクセイビ</t>
    </rPh>
    <phoneticPr fontId="1"/>
  </si>
  <si>
    <t>作業者</t>
    <rPh sb="0" eb="3">
      <t>サギョウシャ</t>
    </rPh>
    <phoneticPr fontId="1"/>
  </si>
  <si>
    <t>○</t>
    <phoneticPr fontId="1"/>
  </si>
  <si>
    <t>×</t>
    <phoneticPr fontId="1"/>
  </si>
  <si>
    <t>OK</t>
    <phoneticPr fontId="1"/>
  </si>
  <si>
    <t>NG</t>
    <phoneticPr fontId="1"/>
  </si>
  <si>
    <t>[config]</t>
  </si>
  <si>
    <t>type=2</t>
  </si>
  <si>
    <t>persons=1</t>
  </si>
  <si>
    <t>magnification=2</t>
  </si>
  <si>
    <t>backup=1</t>
  </si>
  <si>
    <t>jointnum=5</t>
  </si>
  <si>
    <t>extension=bmp</t>
  </si>
  <si>
    <t>headcolor=153,255,255</t>
  </si>
  <si>
    <t>csvprefix=FreeJoint</t>
  </si>
  <si>
    <t>モザイク処理　．INIT</t>
    <rPh sb="4" eb="6">
      <t>ショリ</t>
    </rPh>
    <phoneticPr fontId="1"/>
  </si>
  <si>
    <t>　　　　ステップ　２
　　label_maker2(モザイク処置）
　INITデータフォルダー</t>
    <phoneticPr fontId="1"/>
  </si>
  <si>
    <t>　　　　ステップ　４
　　label_maker(行動データ入力）
　　　INITデータフォルダー</t>
    <phoneticPr fontId="1"/>
  </si>
  <si>
    <t>　　　　ステップ　３
　　label_maker2(関節点モード）
　　　INITデータフォルダー</t>
    <phoneticPr fontId="1"/>
  </si>
  <si>
    <t>type=1</t>
  </si>
  <si>
    <t>関節点処理　．INIT</t>
    <rPh sb="0" eb="2">
      <t>カンセツ</t>
    </rPh>
    <rPh sb="2" eb="3">
      <t>テン</t>
    </rPh>
    <rPh sb="3" eb="5">
      <t>ショリ</t>
    </rPh>
    <phoneticPr fontId="1"/>
  </si>
  <si>
    <t>type=6</t>
  </si>
  <si>
    <t>jointon=0</t>
  </si>
  <si>
    <t>headcolor=255,255,255</t>
  </si>
  <si>
    <t>行動解析No</t>
    <rPh sb="0" eb="2">
      <t>コウドウ</t>
    </rPh>
    <rPh sb="2" eb="4">
      <t>カイセキ</t>
    </rPh>
    <phoneticPr fontId="1"/>
  </si>
  <si>
    <t xml:space="preserve">性別
</t>
    <phoneticPr fontId="1"/>
  </si>
  <si>
    <t>年齢台</t>
    <rPh sb="0" eb="2">
      <t>ネンレイ</t>
    </rPh>
    <rPh sb="2" eb="3">
      <t>ダイ</t>
    </rPh>
    <phoneticPr fontId="1"/>
  </si>
  <si>
    <t>サンプル</t>
    <phoneticPr fontId="1"/>
  </si>
  <si>
    <t>商品</t>
    <rPh sb="0" eb="2">
      <t>ショウヒン</t>
    </rPh>
    <phoneticPr fontId="1"/>
  </si>
  <si>
    <t>子連れ</t>
    <rPh sb="0" eb="1">
      <t>コ</t>
    </rPh>
    <rPh sb="1" eb="2">
      <t>ヅ</t>
    </rPh>
    <phoneticPr fontId="1"/>
  </si>
  <si>
    <t>CSV
(HumanAction.csv)</t>
    <phoneticPr fontId="1"/>
  </si>
  <si>
    <t>CSV
(FreeJoint.csv)</t>
    <phoneticPr fontId="1"/>
  </si>
  <si>
    <t>.BMP数</t>
    <rPh sb="4" eb="5">
      <t>スウ</t>
    </rPh>
    <phoneticPr fontId="1"/>
  </si>
  <si>
    <t>対象人数</t>
    <rPh sb="0" eb="2">
      <t>タイショウ</t>
    </rPh>
    <rPh sb="2" eb="4">
      <t>ニンズウ</t>
    </rPh>
    <phoneticPr fontId="1"/>
  </si>
  <si>
    <t>切り出し　フォルダー　名</t>
    <rPh sb="0" eb="1">
      <t>キ</t>
    </rPh>
    <rPh sb="2" eb="3">
      <t>ダ</t>
    </rPh>
    <rPh sb="11" eb="12">
      <t>メイ</t>
    </rPh>
    <phoneticPr fontId="1"/>
  </si>
  <si>
    <r>
      <t xml:space="preserve">フォルダー　名
</t>
    </r>
    <r>
      <rPr>
        <sz val="14"/>
        <color rgb="FFFF0000"/>
        <rFont val="ＭＳ Ｐゴシック"/>
        <family val="3"/>
        <charset val="128"/>
        <scheme val="minor"/>
      </rPr>
      <t>作業_1_初期チェックの　B欄の有効データ　のコピー</t>
    </r>
    <rPh sb="6" eb="7">
      <t>メイ</t>
    </rPh>
    <rPh sb="25" eb="27">
      <t>ユウコウ</t>
    </rPh>
    <phoneticPr fontId="1"/>
  </si>
  <si>
    <t>複数</t>
    <rPh sb="0" eb="2">
      <t>フクスウ</t>
    </rPh>
    <phoneticPr fontId="1"/>
  </si>
  <si>
    <t>スマホ</t>
    <phoneticPr fontId="1"/>
  </si>
  <si>
    <t>説明書</t>
    <rPh sb="0" eb="3">
      <t>セツメイショ</t>
    </rPh>
    <phoneticPr fontId="1"/>
  </si>
  <si>
    <t>imgdir=\\odbto211609120a\z\HD31_20170207入手\CM-32\ncr_20170206\行動解析\FN_072832</t>
    <phoneticPr fontId="1"/>
  </si>
  <si>
    <t>test</t>
    <phoneticPr fontId="1"/>
  </si>
  <si>
    <t>右</t>
    <rPh sb="0" eb="1">
      <t>ミギ</t>
    </rPh>
    <phoneticPr fontId="1"/>
  </si>
  <si>
    <t>上</t>
    <rPh sb="0" eb="1">
      <t>ウエ</t>
    </rPh>
    <phoneticPr fontId="1"/>
  </si>
  <si>
    <t>店舗名</t>
    <rPh sb="0" eb="2">
      <t>テンポ</t>
    </rPh>
    <rPh sb="2" eb="3">
      <t>メイ</t>
    </rPh>
    <phoneticPr fontId="1"/>
  </si>
  <si>
    <t>日付</t>
    <rPh sb="0" eb="2">
      <t>ヒヅケ</t>
    </rPh>
    <phoneticPr fontId="1"/>
  </si>
  <si>
    <t>↑　値のみの貼り付け　↑</t>
    <phoneticPr fontId="1"/>
  </si>
  <si>
    <t>行動解析_soft　フォルダー位置情報</t>
    <rPh sb="15" eb="17">
      <t>イチ</t>
    </rPh>
    <rPh sb="17" eb="19">
      <t>ジョウホウ</t>
    </rPh>
    <phoneticPr fontId="1"/>
  </si>
  <si>
    <t>\\odbto211609120a\z\HD31_20170207入手\CM-32\ncr_20170201\</t>
    <phoneticPr fontId="1"/>
  </si>
  <si>
    <t>C:\Users\konicaminolta\Desktop\行動解析_soft</t>
    <phoneticPr fontId="1"/>
  </si>
  <si>
    <t>香りサンプル/テスター　
画像識別記号</t>
    <rPh sb="0" eb="1">
      <t>カオ</t>
    </rPh>
    <rPh sb="13" eb="15">
      <t>ガゾウ</t>
    </rPh>
    <rPh sb="15" eb="17">
      <t>シキベツ</t>
    </rPh>
    <rPh sb="17" eb="19">
      <t>キゴウ</t>
    </rPh>
    <phoneticPr fontId="20"/>
  </si>
  <si>
    <t>香りサンプル/テスター　
ID</t>
    <phoneticPr fontId="20"/>
  </si>
  <si>
    <t>A</t>
    <phoneticPr fontId="20"/>
  </si>
  <si>
    <t>t_lov_01</t>
    <phoneticPr fontId="1"/>
  </si>
  <si>
    <t>B</t>
    <phoneticPr fontId="20"/>
  </si>
  <si>
    <t>f_min_01</t>
  </si>
  <si>
    <t>C</t>
    <phoneticPr fontId="20"/>
  </si>
  <si>
    <t>f_hone_01</t>
  </si>
  <si>
    <t>D</t>
    <phoneticPr fontId="20"/>
  </si>
  <si>
    <t>t_bot_02</t>
  </si>
  <si>
    <t>E</t>
    <phoneticPr fontId="20"/>
  </si>
  <si>
    <t>f_bot_03</t>
  </si>
  <si>
    <t>F</t>
    <phoneticPr fontId="20"/>
  </si>
  <si>
    <t>f_clea_01</t>
  </si>
  <si>
    <t>G</t>
    <phoneticPr fontId="20"/>
  </si>
  <si>
    <t>f_pt_01</t>
  </si>
  <si>
    <t>H</t>
    <phoneticPr fontId="20"/>
  </si>
  <si>
    <t>t_revir_01</t>
  </si>
  <si>
    <t>I</t>
    <phoneticPr fontId="20"/>
  </si>
  <si>
    <t>f_髪_01</t>
    <rPh sb="2" eb="3">
      <t>カミ</t>
    </rPh>
    <phoneticPr fontId="22"/>
  </si>
  <si>
    <t>J</t>
    <phoneticPr fontId="20"/>
  </si>
  <si>
    <t>f_tsub_03</t>
  </si>
  <si>
    <t>K</t>
    <phoneticPr fontId="20"/>
  </si>
  <si>
    <t>f_asi_01</t>
  </si>
  <si>
    <t>L</t>
    <phoneticPr fontId="20"/>
  </si>
  <si>
    <t>f_asi_02</t>
  </si>
  <si>
    <t>M</t>
    <phoneticPr fontId="20"/>
  </si>
  <si>
    <t>f_tsub_02</t>
  </si>
  <si>
    <t>N</t>
    <phoneticPr fontId="20"/>
  </si>
  <si>
    <t>f_tsub_01</t>
  </si>
  <si>
    <t>O</t>
    <phoneticPr fontId="20"/>
  </si>
  <si>
    <t>f_lasa_01</t>
  </si>
  <si>
    <t>P</t>
    <phoneticPr fontId="20"/>
  </si>
  <si>
    <t>f_stekn_01</t>
  </si>
  <si>
    <t>用賀店</t>
    <rPh sb="0" eb="2">
      <t>ヨウガ</t>
    </rPh>
    <rPh sb="2" eb="3">
      <t>テン</t>
    </rPh>
    <phoneticPr fontId="1"/>
  </si>
  <si>
    <t>臭いサンプル</t>
    <rPh sb="0" eb="1">
      <t>ニオ</t>
    </rPh>
    <phoneticPr fontId="1"/>
  </si>
  <si>
    <t>座標</t>
    <rPh sb="0" eb="2">
      <t>ザヒョウ</t>
    </rPh>
    <phoneticPr fontId="1"/>
  </si>
  <si>
    <t>\\odbto211609120a\z\HD31_20170207入手\CM-32\ncr_20170201\00003\10\06_20170201100321157000.ncr</t>
  </si>
  <si>
    <t>牟田</t>
  </si>
  <si>
    <t>FN_100612</t>
  </si>
  <si>
    <t>\\odbto211609120a\z\HD31_20170207入手\CM-32\ncr_20170201\00003\10\14_20170201101343821000.ncr</t>
  </si>
  <si>
    <t>FN_101427</t>
  </si>
  <si>
    <t>\\odbto211609120a\z\HD31_20170207入手\CM-32\ncr_20170201\00003\10\27_20170201102626551000.ncr</t>
  </si>
  <si>
    <t>FN_102734</t>
  </si>
  <si>
    <t>\\odbto211609120a\z\HD31_20170207入手\CM-32\ncr_20170201\00003\10\28_20170201102626551000.ncr</t>
  </si>
  <si>
    <t>FN_102800</t>
  </si>
  <si>
    <t>\\odbto211609120a\z\HD31_20170207入手\CM-32\ncr_20170201\00003\10\28_20170201102626551000.ncr_C2</t>
  </si>
  <si>
    <t>後</t>
  </si>
  <si>
    <t>FN_102838</t>
  </si>
  <si>
    <t>\\odbto211609120a\z\HD31_20170207入手\CM-32\ncr_20170201\00003\10\29_20170201102626551000.ncr</t>
  </si>
  <si>
    <t>前</t>
  </si>
  <si>
    <t>FN_102859</t>
  </si>
  <si>
    <t>\\odbto211609120a\z\HD31_20170207入手\CM-32\ncr_20170201\00003\10\33_20170201103307024000.ncr</t>
  </si>
  <si>
    <t>FN_103335</t>
  </si>
  <si>
    <t>\\odbto211609120a\z\HD31_20170207入手\CM-32\ncr_20170201\00003\10\34_20170201103307024000.ncr</t>
  </si>
  <si>
    <t>前後</t>
  </si>
  <si>
    <t>FN_103359</t>
  </si>
  <si>
    <t>\\odbto211609120a\z\HD31_20170207入手\CM-32\ncr_20170201\00003\10\35_20170201103307024000.ncr</t>
  </si>
  <si>
    <t>FN_103459</t>
  </si>
  <si>
    <t>\\odbto211609120a\z\HD31_20170207入手\CM-32\ncr_20170201\00003\10\40_20170201103944001000.ncr</t>
  </si>
  <si>
    <t>対象外</t>
  </si>
  <si>
    <t>\\odbto211609120a\z\HD31_20170207入手\CM-32\ncr_20170201\00003\10\41_20170201103944001000.ncr</t>
  </si>
  <si>
    <t>FN_104110</t>
  </si>
  <si>
    <t>\\odbto211609120a\z\HD31_20170207入手\CM-32\ncr_20170201\00003\10\54_20170201104708662000.ncr</t>
  </si>
  <si>
    <t>FN_105413</t>
  </si>
  <si>
    <t>\\odbto211609120a\z\HD31_20170207入手\CM-32\ncr_20170201\00003\11\00_20170201110026860000.ncr</t>
  </si>
  <si>
    <t>FN_110048</t>
  </si>
  <si>
    <t>\\odbto211609120a\z\HD31_20170207入手\CM-32\ncr_20170201\00003\11\01_20170201110026860000.ncr</t>
  </si>
  <si>
    <t>FN_110059</t>
  </si>
  <si>
    <t>\\odbto211609120a\z\HD31_20170207入手\CM-32\ncr_20170201\00003\11\02_20170201110026860000.ncr</t>
  </si>
  <si>
    <t>FN_110253</t>
  </si>
  <si>
    <t>\\odbto211609120a\z\HD31_20170207入手\CM-32\ncr_20170201\00003\11\03_20170201110026860000.ncr</t>
  </si>
  <si>
    <t>FN_110259</t>
  </si>
  <si>
    <t>\\odbto211609120a\z\HD31_20170207入手\CM-32\ncr_20170201\00003\11\07_20170201110707750000.ncr</t>
  </si>
  <si>
    <t>FN_110751</t>
  </si>
  <si>
    <t>\\odbto211609120a\z\HD31_20170207入手\CM-32\ncr_20170201\00003\11\10_20170201110707750000.ncr</t>
  </si>
  <si>
    <t>FN_111006</t>
  </si>
  <si>
    <t>\\odbto211609120a\z\HD31_20170207入手\CM-32\ncr_20170201\00003\11\11_20170201110707750000.ncr</t>
  </si>
  <si>
    <t>FN_111114</t>
  </si>
  <si>
    <t>\\odbto211609120a\z\HD31_20170207入手\CM-32\ncr_20170201\00003\11\30_20170201112821136000.ncr</t>
  </si>
  <si>
    <t>FN_112959</t>
  </si>
  <si>
    <t>\\odbto211609120a\z\HD31_20170207入手\CM-32\ncr_20170201\00003\11\32_20170201112821136000.ncr</t>
  </si>
  <si>
    <t>\\odbto211609120a\z\HD31_20170207入手\CM-32\ncr_20170201\00003\11\33_20170201112821136000.ncr</t>
  </si>
  <si>
    <t>\\odbto211609120a\z\HD31_20170207入手\CM-32\ncr_20170201\00003\11\36_20170201113420412000.ncr</t>
  </si>
  <si>
    <t>静間</t>
  </si>
  <si>
    <t>FN_113559</t>
  </si>
  <si>
    <t>\\odbto211609120a\z\HD31_20170207入手\CM-32\ncr_20170201\00003\11\37_20170201113737282000.ncr</t>
  </si>
  <si>
    <t>FN_113756</t>
  </si>
  <si>
    <t>\\odbto211609120a\z\HD31_20170207入手\CM-32\ncr_20170201\00003\11\38_20170201113737282000.ncr</t>
  </si>
  <si>
    <t>FN_113759</t>
  </si>
  <si>
    <t>\\odbto211609120a\z\HD31_20170207入手\CM-32\ncr_20170201\00003\11\42_20170201114130894000.ncr</t>
  </si>
  <si>
    <t>\\odbto211609120a\z\HD31_20170207入手\CM-32\ncr_20170201\00003\11\43_20170201114130894000.ncr</t>
  </si>
  <si>
    <t>\\odbto211609120a\z\HD31_20170207入手\CM-32\ncr_20170201\00003\11\47_20170201114508378000.ncr</t>
  </si>
  <si>
    <t>FN_114716</t>
  </si>
  <si>
    <t>\\odbto211609120a\z\HD31_20170207入手\CM-32\ncr_20170201\00003\11\54_20170201114508378000.ncr</t>
  </si>
  <si>
    <t>FN_115400</t>
  </si>
  <si>
    <t>\\odbto211609120a\z\HD31_20170207入手\CM-32\ncr_20170201\00003\11\57_20170201114508378000.ncr</t>
  </si>
  <si>
    <t>FN_115722</t>
  </si>
  <si>
    <t>\\odbto211609120a\z\HD31_20170207入手\CM-32\ncr_20170201\00003\11\58_20170201114508378000.ncr</t>
  </si>
  <si>
    <t>FN_115802</t>
  </si>
  <si>
    <t>\\odbto211609120a\z\HD31_20170207入手\CM-32\ncr_20170201\00003\11\59_20170201114508378000.ncr</t>
  </si>
  <si>
    <t>FN_115859</t>
  </si>
  <si>
    <t>\\odbto211609120a\z\HD31_20170207入手\CM-32\ncr_20170201\00003\12\01_20170201114508378000.ncr</t>
  </si>
  <si>
    <t>FN_120059</t>
  </si>
  <si>
    <t>\\odbto211609120a\z\HD31_20170207入手\CM-32\ncr_20170201\00003\12\06_20170201114508378000.ncr</t>
  </si>
  <si>
    <t>FN_120608</t>
  </si>
  <si>
    <t>\\odbto211609120a\z\HD31_20170207入手\CM-32\ncr_20170201\00003\12\07_20170201114508378000.ncr</t>
  </si>
  <si>
    <t>FN_120700</t>
  </si>
  <si>
    <t>\\odbto211609120a\z\HD31_20170207入手\CM-32\ncr_20170201\00003\12\13_20170201121209847000.ncr</t>
  </si>
  <si>
    <t>\\odbto211609120a\z\HD31_20170207入手\CM-32\ncr_20170201\00003\12\14_20170201121435870000.ncr</t>
  </si>
  <si>
    <t>FN_121445</t>
  </si>
  <si>
    <t>\\odbto211609120a\z\HD31_20170207入手\CM-32\ncr_20170201\00003\12\16_20170201121557893000.ncr</t>
  </si>
  <si>
    <t>具志堅</t>
  </si>
  <si>
    <t>FN_121607</t>
  </si>
  <si>
    <t>\\odbto211609120a\z\HD31_20170207入手\CM-32\ncr_20170201\00003\12\41_20170201123402219000.ncr</t>
  </si>
  <si>
    <t>FN_124104</t>
  </si>
  <si>
    <t>\\odbto211609120a\z\HD31_20170207入手\CM-32\ncr_20170201\00003\12\42_20170201123402219000.ncr</t>
  </si>
  <si>
    <t>FN_124159</t>
  </si>
  <si>
    <t>\\odbto211609120a\z\HD31_20170207入手\CM-32\ncr_20170201\00003\12\42_20170201123402219000.ncr_C2</t>
  </si>
  <si>
    <t>FN_124213</t>
  </si>
  <si>
    <t>\\odbto211609120a\z\HD31_20170207入手\CM-32\ncr_20170201\00003\12\43_20170201123402219000.ncr</t>
  </si>
  <si>
    <t>FN_124259</t>
  </si>
  <si>
    <t>\\odbto211609120a\z\HD31_20170207入手\CM-32\ncr_20170201\00003\12\52_20170201125004244000.ncr</t>
  </si>
  <si>
    <t>FN_125204</t>
  </si>
  <si>
    <t>\\odbto211609120a\z\HD31_20170207入手\CM-32\ncr_20170201\00003\13\03_20170201130255473000.ncr</t>
  </si>
  <si>
    <t>FN_130309</t>
  </si>
  <si>
    <t>\\odbto211609120a\z\HD31_20170207入手\CM-32\ncr_20170201\00003\13\04_20170201130255473000.ncr</t>
  </si>
  <si>
    <t>FN_130409</t>
  </si>
  <si>
    <t>\\odbto211609120a\z\HD31_20170207入手\CM-32\ncr_20170201\00003\13\16_20170201131547493000.ncr</t>
  </si>
  <si>
    <t>FN_131559</t>
  </si>
  <si>
    <t>\\odbto211609120a\z\HD31_20170207入手\CM-32\ncr_20170201\00003\13\16_20170201131547493000.ncr_C2</t>
  </si>
  <si>
    <t>\\odbto211609120a\z\HD31_20170207入手\CM-32\ncr_20170201\00003\13\21_20170201132024549000.ncr</t>
  </si>
  <si>
    <t>\\odbto211609120a\z\HD31_20170207入手\CM-32\ncr_20170201\00003\13\22_20170201132024549000.ncr</t>
  </si>
  <si>
    <t>\\odbto211609120a\z\HD31_20170207入手\CM-32\ncr_20170201\00003\13\26_20170201132553352000.ncr</t>
  </si>
  <si>
    <t>FN_132601</t>
  </si>
  <si>
    <t>\\odbto211609120a\z\HD31_20170207入手\CM-32\ncr_20170201\00003\13\27_20170201132553352000.ncr</t>
  </si>
  <si>
    <t>FN_132659</t>
  </si>
  <si>
    <t>\\odbto211609120a\z\HD31_20170207入手\CM-32\ncr_20170201\00003\13\33_20170201133256805000.ncr</t>
  </si>
  <si>
    <t>FN_133351</t>
  </si>
  <si>
    <t>\\odbto211609120a\z\HD31_20170207入手\CM-32\ncr_20170201\00003\13\34_20170201133256805000.ncr</t>
  </si>
  <si>
    <t>FN_133400</t>
  </si>
  <si>
    <t>\\odbto211609120a\z\HD31_20170207入手\CM-32\ncr_20170201\00003\13\35_20170201133256805000.ncr</t>
  </si>
  <si>
    <t>FN_133523</t>
  </si>
  <si>
    <t>\\odbto211609120a\z\HD31_20170207入手\CM-32\ncr_20170201\00003\13\36_20170201133256805000.ncr</t>
  </si>
  <si>
    <t>竹下</t>
  </si>
  <si>
    <t>FN_133638</t>
  </si>
  <si>
    <t>\\odbto211609120a\z\HD31_20170207入手\CM-32\ncr_20170201\00003\14\01_20170201140103650000.ncr</t>
  </si>
  <si>
    <t>FN_140120</t>
  </si>
  <si>
    <t>\\odbto211609120a\z\HD31_20170207入手\CM-32\ncr_20170201\00003\14\06_20170201140610072000.ncr</t>
  </si>
  <si>
    <t>FN_140624</t>
  </si>
  <si>
    <t>\\odbto211609120a\z\HD31_20170207入手\CM-32\ncr_20170201\00003\14\12_20170201141227990000.ncr</t>
  </si>
  <si>
    <t>FN_141251</t>
  </si>
  <si>
    <t>\\odbto211609120a\z\HD31_20170207入手\CM-32\ncr_20170201\00003\14\13_20170201141227990000.ncr</t>
  </si>
  <si>
    <t>FN_141300</t>
  </si>
  <si>
    <t>\\odbto211609120a\z\HD31_20170207入手\CM-32\ncr_20170201\00003\14\23_20170201142035894000.ncr</t>
  </si>
  <si>
    <t>FN_142312</t>
  </si>
  <si>
    <t>\\odbto211609120a\z\HD31_20170207入手\CM-32\ncr_20170201\00003\14\23_20170201142035894000.ncr_C2</t>
  </si>
  <si>
    <t>FN_142342</t>
  </si>
  <si>
    <t>\\odbto211609120a\z\HD31_20170207入手\CM-32\ncr_20170201\00003\14\24_20170201142035894000.ncr</t>
  </si>
  <si>
    <t>FN_142424</t>
  </si>
  <si>
    <t>\\odbto211609120a\z\HD31_20170207入手\CM-32\ncr_20170201\00003\14\36_20170201143512877000.ncr</t>
  </si>
  <si>
    <t>FN_143622</t>
  </si>
  <si>
    <t>\\odbto211609120a\z\HD31_20170207入手\CM-32\ncr_20170201\00003\14\42_20170201144156753000.ncr</t>
  </si>
  <si>
    <t>FN_144205</t>
  </si>
  <si>
    <t>\\odbto211609120a\z\HD31_20170207入手\CM-32\ncr_20170201\00003\14\53_20170201145333088000.ncr</t>
  </si>
  <si>
    <t>FN_145346</t>
  </si>
  <si>
    <t>\\odbto211609120a\z\HD31_20170207入手\CM-32\ncr_20170201\00003\14\54_20170201145333088000.ncr</t>
  </si>
  <si>
    <t>FN_145359</t>
  </si>
  <si>
    <t>\\odbto211609120a\z\HD31_20170207入手\CM-32\ncr_20170201\00003\14\54_20170201145333088000.ncr_C2</t>
  </si>
  <si>
    <t>FN_145441</t>
  </si>
  <si>
    <t>\\odbto211609120a\z\HD31_20170207入手\CM-32\ncr_20170201\00003\15\00_20170201145333088000.ncr</t>
  </si>
  <si>
    <t>FN_150028</t>
  </si>
  <si>
    <t>\\odbto211609120a\z\HD31_20170207入手\CM-32\ncr_20170201\00003\15\01_20170201145333088000.ncr</t>
  </si>
  <si>
    <t>FN_150120</t>
  </si>
  <si>
    <t>\\odbto211609120a\z\HD31_20170207入手\CM-32\ncr_20170201\00003\15\17_20170201150953396000.ncr</t>
  </si>
  <si>
    <t>FN_151700</t>
  </si>
  <si>
    <t>\\odbto211609120a\z\HD31_20170207入手\CM-32\ncr_20170201\00003\15\18_20170201150953396000.ncr</t>
  </si>
  <si>
    <t>FN_151808</t>
  </si>
  <si>
    <t>\\odbto211609120a\z\HD31_20170207入手\CM-32\ncr_20170201\00003\15\19_20170201150953396000.ncr</t>
  </si>
  <si>
    <t>岡本</t>
  </si>
  <si>
    <t>FN_151900</t>
  </si>
  <si>
    <t>\\odbto211609120a\z\HD31_20170207入手\CM-32\ncr_20170201\00003\15\20_20170201150953396000.ncr</t>
  </si>
  <si>
    <t>FN_152000</t>
  </si>
  <si>
    <t>\\odbto211609120a\z\HD31_20170207入手\CM-32\ncr_20170201\00003\15\21_20170201150953396000.ncr</t>
  </si>
  <si>
    <t>FN_152116</t>
  </si>
  <si>
    <t>\\odbto211609120a\z\HD31_20170207入手\CM-32\ncr_20170201\00003\15\22_20170201150953396000.ncr</t>
  </si>
  <si>
    <t>FN_152209</t>
  </si>
  <si>
    <t>\\odbto211609120a\z\HD31_20170207入手\CM-32\ncr_20170201\00003\15\22_20170201150953396000.ncr_C2</t>
  </si>
  <si>
    <t>FN_152214</t>
  </si>
  <si>
    <t>\\odbto211609120a\z\HD31_20170207入手\CM-32\ncr_20170201\00003\15\24_20170201150953396000.ncr</t>
  </si>
  <si>
    <t>FN_152401</t>
  </si>
  <si>
    <t>\\odbto211609120a\z\HD31_20170207入手\CM-32\ncr_20170201\00003\15\24_20170201150953396000.ncr_C2</t>
  </si>
  <si>
    <t>FN_152453</t>
  </si>
  <si>
    <t>\\odbto211609120a\z\HD31_20170207入手\CM-32\ncr_20170201\00003\15\42_20170201153814983000.ncr</t>
  </si>
  <si>
    <t>FN_154251</t>
  </si>
  <si>
    <t>\\odbto211609120a\z\HD31_20170207入手\CM-32\ncr_20170201\00003\15\43_20170201153814983000.ncr</t>
  </si>
  <si>
    <t>FN_154300</t>
  </si>
  <si>
    <t>\\odbto211609120a\z\HD31_20170207入手\CM-32\ncr_20170201\00003\15\45_20170201154457461000.ncr</t>
  </si>
  <si>
    <t>FN_154503</t>
  </si>
  <si>
    <t>\\odbto211609120a\z\HD31_20170207入手\CM-32\ncr_20170201\00003\15\48_20170201154836049000.ncr</t>
  </si>
  <si>
    <t>FN_154837</t>
  </si>
  <si>
    <t>\\odbto211609120a\z\HD31_20170207入手\CM-32\ncr_20170201\00003\15\51_20170201155051107000.ncr</t>
  </si>
  <si>
    <t>FN_155143</t>
  </si>
  <si>
    <t>\\odbto211609120a\z\HD31_20170207入手\CM-32\ncr_20170201\00003\15\54_20170201155348833000.ncr</t>
  </si>
  <si>
    <t>FN_155400</t>
  </si>
  <si>
    <t>\\odbto211609120a\z\HD31_20170207入手\CM-32\ncr_20170201\00003\16\10_20170201160821180000.ncr</t>
  </si>
  <si>
    <t>FN_161031</t>
  </si>
  <si>
    <t>\\odbto211609120a\z\HD31_20170207入手\CM-32\ncr_20170201\00003\16\11_20170201160821180000.ncr</t>
  </si>
  <si>
    <t>FN_161106</t>
  </si>
  <si>
    <t>\\odbto211609120a\z\HD31_20170207入手\CM-32\ncr_20170201\00003\16\15_20170201161245802000.ncr</t>
  </si>
  <si>
    <t>FN_161534</t>
  </si>
  <si>
    <t>\\odbto211609120a\z\HD31_20170207入手\CM-32\ncr_20170201\00003\16\16_20170201161245802000.ncr</t>
  </si>
  <si>
    <t>FN_161559</t>
  </si>
  <si>
    <t>\\odbto211609120a\z\HD31_20170207入手\CM-32\ncr_20170201\00003\16\42_20170201163711809000.ncr</t>
  </si>
  <si>
    <t>FN_164210</t>
  </si>
  <si>
    <t>\\odbto211609120a\z\HD31_20170207入手\CM-32\ncr_20170201\00003\16\42_20170201163711809000.ncr_C2</t>
  </si>
  <si>
    <t>FN_164249</t>
  </si>
  <si>
    <t>\\odbto211609120a\z\HD31_20170207入手\CM-32\ncr_20170201\00003\16\43_20170201163711809000.ncr</t>
  </si>
  <si>
    <t>FN_164300</t>
  </si>
  <si>
    <t>\\odbto211609120a\z\HD31_20170207入手\CM-32\ncr_20170201\00003\16\43_20170201163711809000.ncr_C2</t>
  </si>
  <si>
    <t>FN_164353</t>
  </si>
  <si>
    <t>\\odbto211609120a\z\HD31_20170207入手\CM-32\ncr_20170201\00003\16\45_20170201163711809000.ncr</t>
  </si>
  <si>
    <t>FN_164500</t>
  </si>
  <si>
    <t>\\odbto211609120a\z\HD31_20170207入手\CM-32\ncr_20170201\00003\16\46_20170201163711809000.ncr</t>
  </si>
  <si>
    <t>FN_164609</t>
  </si>
  <si>
    <t>\\odbto211609120a\z\HD31_20170207入手\CM-32\ncr_20170201\00003\16\47_20170201163711809000.ncr</t>
  </si>
  <si>
    <t>FN_164700</t>
  </si>
  <si>
    <t>\\odbto211609120a\z\HD31_20170207入手\CM-32\ncr_20170201\00003\16\47_20170201163711809000.ncr_C2</t>
  </si>
  <si>
    <t>FN_164737</t>
  </si>
  <si>
    <t>\\odbto211609120a\z\HD31_20170207入手\CM-32\ncr_20170201\00003\16\55_20170201165353671000.ncr</t>
  </si>
  <si>
    <t>\\odbto211609120a\z\HD31_20170207入手\CM-32\ncr_20170201\00003\17\02_20170201165839817000.ncr</t>
  </si>
  <si>
    <t>FN_170226</t>
  </si>
  <si>
    <t>\\odbto211609120a\z\HD31_20170207入手\CM-32\ncr_20170201\00003\17\02_20170201165839817000.ncr_C2</t>
  </si>
  <si>
    <t>FN_170249</t>
  </si>
  <si>
    <t>\\odbto211609120a\z\HD31_20170207入手\CM-32\ncr_20170201\00003\17\03_20170201165839817000.ncr</t>
  </si>
  <si>
    <t>FN_170316</t>
  </si>
  <si>
    <t>\\odbto211609120a\z\HD31_20170207入手\CM-32\ncr_20170201\00003\17\10_20170201165839817000.ncr</t>
  </si>
  <si>
    <t>FN_171016</t>
  </si>
  <si>
    <t>\\odbto211609120a\z\HD31_20170207入手\CM-32\ncr_20170201\00003\17\11_20170201165839817000.ncr</t>
  </si>
  <si>
    <t>FN_171100</t>
  </si>
  <si>
    <t>\\odbto211609120a\z\HD31_20170207入手\CM-32\ncr_20170201\00003\17\13_20170201165839817000.ncr</t>
  </si>
  <si>
    <t>FN_171320</t>
  </si>
  <si>
    <t>\\odbto211609120a\z\HD31_20170207入手\CM-32\ncr_20170201\00003\17\15_20170201165839817000.ncr</t>
  </si>
  <si>
    <t>FN_171459</t>
  </si>
  <si>
    <t>\\odbto211609120a\z\HD31_20170207入手\CM-32\ncr_20170201\00003\17\16_20170201165839817000.ncr</t>
  </si>
  <si>
    <t>谷口</t>
  </si>
  <si>
    <t>FN_171559</t>
  </si>
  <si>
    <t>\\odbto211609120a\z\HD31_20170207入手\CM-32\ncr_20170201\00003\17\23_20170201172021901000.ncr</t>
  </si>
  <si>
    <t>FN_172307</t>
  </si>
  <si>
    <t>\\odbto211609120a\z\HD31_20170207入手\CM-32\ncr_20170201\00003\17\25_20170201172021901000.ncr</t>
  </si>
  <si>
    <t>FN_172506</t>
  </si>
  <si>
    <t>\\odbto211609120a\z\HD31_20170207入手\CM-32\ncr_20170201\00003\17\31_20170201172751797000.ncr</t>
  </si>
  <si>
    <t>FN_173125</t>
  </si>
  <si>
    <t>\\odbto211609120a\z\HD31_20170207入手\CM-32\ncr_20170201\00003\17\33_20170201172751797000.ncr</t>
  </si>
  <si>
    <t>FN_173355</t>
  </si>
  <si>
    <t>\\odbto211609120a\z\HD31_20170207入手\CM-32\ncr_20170201\00003\17\34_20170201172751797000.ncr</t>
  </si>
  <si>
    <t>FN_173359</t>
  </si>
  <si>
    <t>\\odbto211609120a\z\HD31_20170207入手\CM-32\ncr_20170201\00003\17\36_20170201172751797000.ncr</t>
  </si>
  <si>
    <t>FN_173622</t>
  </si>
  <si>
    <t>\\odbto211609120a\z\HD31_20170207入手\CM-32\ncr_20170201\00003\17\39_20170201172751797000.ncr</t>
  </si>
  <si>
    <t>FN_173931</t>
  </si>
  <si>
    <t>\\odbto211609120a\z\HD31_20170207入手\CM-32\ncr_20170201\00003\17\45_20170201172751797000.ncr</t>
  </si>
  <si>
    <t>FN_174500</t>
  </si>
  <si>
    <t>\\odbto211609120a\z\HD31_20170207入手\CM-32\ncr_20170201\00003\17\47_20170201172751797000.ncr</t>
  </si>
  <si>
    <t>FN_174703</t>
  </si>
  <si>
    <t>\\odbto211609120a\z\HD31_20170207入手\CM-32\ncr_20170201\00003\17\50_20170201172751797000.ncr</t>
  </si>
  <si>
    <t>FN_175041</t>
  </si>
  <si>
    <t>\\odbto211609120a\z\HD31_20170207入手\CM-32\ncr_20170201\00003\17\51_20170201172751797000.ncr</t>
  </si>
  <si>
    <t>FN_175100</t>
  </si>
  <si>
    <t>\\odbto211609120a\z\HD31_20170207入手\CM-32\ncr_20170201\00003\17\52_20170201172751797000.ncr</t>
  </si>
  <si>
    <t>FN_175214</t>
  </si>
  <si>
    <t>\\odbto211609120a\z\HD31_20170207入手\CM-32\ncr_20170201\00003\17\53_20170201172751797000.ncr</t>
  </si>
  <si>
    <t>FN_175351</t>
  </si>
  <si>
    <t>\\odbto211609120a\z\HD31_20170207入手\CM-32\ncr_20170201\00003\17\54_20170201172751797000.ncr</t>
  </si>
  <si>
    <t>FN_175400</t>
  </si>
  <si>
    <t>\\odbto211609120a\z\HD31_20170207入手\CM-32\ncr_20170201\00003\17\55_20170201172751797000.ncr</t>
  </si>
  <si>
    <t>FN_175502</t>
  </si>
  <si>
    <t>\\odbto211609120a\z\HD31_20170207入手\CM-32\ncr_20170201\00003\17\55_20170201172751797000.ncr_C2</t>
  </si>
  <si>
    <t>FN_175555</t>
  </si>
  <si>
    <t>\\odbto211609120a\z\HD31_20170207入手\CM-32\ncr_20170201\00003\17\57_20170201172751797000.ncr</t>
  </si>
  <si>
    <t>FN_175739</t>
  </si>
  <si>
    <t>\\odbto211609120a\z\HD31_20170207入手\CM-32\ncr_20170201\00003\17\58_20170201172751797000.ncr</t>
  </si>
  <si>
    <t>FN_175843</t>
  </si>
  <si>
    <t>\\odbto211609120a\z\HD31_20170207入手\CM-32\ncr_20170201\00003\18\01_20170201172751797000.ncr</t>
  </si>
  <si>
    <t>FN_180103</t>
  </si>
  <si>
    <t>\\odbto211609120a\z\HD31_20170207入手\CM-32\ncr_20170201\00003\18\03_20170201172751797000.ncr</t>
  </si>
  <si>
    <t>FN_180338</t>
  </si>
  <si>
    <t>\\odbto211609120a\z\HD31_20170207入手\CM-32\ncr_20170201\00003\18\04_20170201172751797000.ncr</t>
  </si>
  <si>
    <t>FN_180400</t>
  </si>
  <si>
    <t>\\odbto211609120a\z\HD31_20170207入手\CM-32\ncr_20170201\00003\18\11_20170201180642725000.ncr</t>
  </si>
  <si>
    <t>FN_181111</t>
  </si>
  <si>
    <t>\\odbto211609120a\z\HD31_20170207入手\CM-32\ncr_20170201\00003\18\12_20170201180642725000.ncr</t>
  </si>
  <si>
    <t>FN_181200</t>
  </si>
  <si>
    <t>\\odbto211609120a\z\HD31_20170207入手\CM-32\ncr_20170201\00003\18\13_20170201180642725000.ncr</t>
  </si>
  <si>
    <t>FN_181340</t>
  </si>
  <si>
    <t>\\odbto211609120a\z\HD31_20170207入手\CM-32\ncr_20170201\00003\18\14_20170201180642725000.ncr</t>
  </si>
  <si>
    <t>FN_181400</t>
  </si>
  <si>
    <t>\\odbto211609120a\z\HD31_20170207入手\CM-32\ncr_20170201\00003\18\15_20170201180642725000.ncr</t>
  </si>
  <si>
    <t>FN_181500</t>
  </si>
  <si>
    <t>\\odbto211609120a\z\HD31_20170207入手\CM-32\ncr_20170201\00003\18\17_20170201180642725000.ncr</t>
  </si>
  <si>
    <t>FN_181700</t>
  </si>
  <si>
    <t>\\odbto211609120a\z\HD31_20170207入手\CM-32\ncr_20170201\00003\18\18_20170201180642725000.ncr</t>
  </si>
  <si>
    <t>FN_181805</t>
  </si>
  <si>
    <t>\\odbto211609120a\z\HD31_20170207入手\CM-32\ncr_20170201\00003\18\19_20170201180642725000.ncr</t>
  </si>
  <si>
    <t>FN_181900</t>
  </si>
  <si>
    <t>\\odbto211609120a\z\HD31_20170207入手\CM-32\ncr_20170201\00003\18\20_20170201180642725000.ncr</t>
  </si>
  <si>
    <t>FN_182000</t>
  </si>
  <si>
    <t>\\odbto211609120a\z\HD31_20170207入手\CM-32\ncr_20170201\00003\18\22_20170201180642725000.ncr</t>
  </si>
  <si>
    <t>FN_182200</t>
  </si>
  <si>
    <t>\\odbto211609120a\z\HD31_20170207入手\CM-32\ncr_20170201\00003\18\25_20170201180642725000.ncr</t>
  </si>
  <si>
    <t>FN_182540</t>
  </si>
  <si>
    <t>\\odbto211609120a\z\HD31_20170207入手\CM-32\ncr_20170201\00003\18\26_20170201180642725000.ncr</t>
  </si>
  <si>
    <t>FN_182606</t>
  </si>
  <si>
    <t>\\odbto211609120a\z\HD31_20170207入手\CM-32\ncr_20170201\00003\18\33_20170201180642725000.ncr</t>
  </si>
  <si>
    <t>FN_183304</t>
  </si>
  <si>
    <t>\\odbto211609120a\z\HD31_20170207入手\CM-32\ncr_20170201\00003\18\43_20170201180642725000.ncr</t>
  </si>
  <si>
    <t>FN_184320</t>
  </si>
  <si>
    <t>\\odbto211609120a\z\HD31_20170207入手\CM-32\ncr_20170201\00003\18\50_20170201184905946000.ncr</t>
  </si>
  <si>
    <t>FN_185011</t>
  </si>
  <si>
    <t>\\odbto211609120a\z\HD31_20170207入手\CM-32\ncr_20170201\00003\18\51_20170201184905946000.ncr</t>
  </si>
  <si>
    <t>FN_185138</t>
  </si>
  <si>
    <t>\\odbto211609120a\z\HD31_20170207入手\CM-32\ncr_20170201\00003\18\53_20170201184905946000.ncr</t>
  </si>
  <si>
    <t>FN_185322</t>
  </si>
  <si>
    <t>\\odbto211609120a\z\HD31_20170207入手\CM-32\ncr_20170201\00003\18\58_20170201185730055000.ncr</t>
  </si>
  <si>
    <t>FN_185807</t>
  </si>
  <si>
    <t>\\odbto211609120a\z\HD31_20170207入手\CM-32\ncr_20170201\00003\18\59_20170201185730055000.ncr</t>
  </si>
  <si>
    <t>FN_185900</t>
  </si>
  <si>
    <t>\\odbto211609120a\z\HD31_20170207入手\CM-32\ncr_20170201\00003\18\59_20170201185730055000.ncr_C2</t>
  </si>
  <si>
    <t>\\odbto211609120a\z\HD31_20170207入手\CM-32\ncr_20170201\00003\19\00_20170201185730055000.ncr</t>
  </si>
  <si>
    <t>\\odbto211609120a\z\HD31_20170207入手\CM-32\ncr_20170201\00003\19\02_20170201185730055000.ncr</t>
  </si>
  <si>
    <t>\\odbto211609120a\z\HD31_20170207入手\CM-32\ncr_20170201\00003\19\05_20170201190529892000.ncr</t>
  </si>
  <si>
    <t>FN_190548</t>
  </si>
  <si>
    <t>\\odbto211609120a\z\HD31_20170207入手\CM-32\ncr_20170201\00003\19\07_20170201190529892000.ncr</t>
  </si>
  <si>
    <t>FN_190735</t>
  </si>
  <si>
    <t>\\odbto211609120a\z\HD31_20170207入手\CM-32\ncr_20170201\00003\19\10_20170201190529892000.ncr</t>
  </si>
  <si>
    <t>FN_191046</t>
  </si>
  <si>
    <t>\\odbto211609120a\z\HD31_20170207入手\CM-32\ncr_20170201\00003\19\12_20170201190529892000.ncr</t>
  </si>
  <si>
    <t>FN_191202</t>
  </si>
  <si>
    <t>\\odbto211609120a\z\HD31_20170207入手\CM-32\ncr_20170201\00003\19\13_20170201190529892000.ncr</t>
  </si>
  <si>
    <t>FN_191332</t>
  </si>
  <si>
    <t>\\odbto211609120a\z\HD31_20170207入手\CM-32\ncr_20170201\00003\19\14_20170201190529892000.ncr</t>
  </si>
  <si>
    <t>FN_191400</t>
  </si>
  <si>
    <t>\\odbto211609120a\z\HD31_20170207入手\CM-32\ncr_20170201\00003\19\14_20170201190529892000.ncr_C2</t>
  </si>
  <si>
    <t>FN_191454</t>
  </si>
  <si>
    <t>\\odbto211609120a\z\HD31_20170207入手\CM-32\ncr_20170201\00003\19\15_20170201190529892000.ncr</t>
  </si>
  <si>
    <t>FN_191500</t>
  </si>
  <si>
    <t>\\odbto211609120a\z\HD31_20170207入手\CM-32\ncr_20170201\00003\19\15_20170201190529892000.ncr_C2</t>
  </si>
  <si>
    <t>FN_191515</t>
  </si>
  <si>
    <t>\\odbto211609120a\z\HD31_20170207入手\CM-32\ncr_20170201\00003\19\17_20170201190529892000.ncr</t>
  </si>
  <si>
    <t>FN_191722</t>
  </si>
  <si>
    <t>\\odbto211609120a\z\HD31_20170207入手\CM-32\ncr_20170201\00003\19\18_20170201190529892000.ncr</t>
  </si>
  <si>
    <t>FN_191822</t>
  </si>
  <si>
    <t>\\odbto211609120a\z\HD31_20170207入手\CM-32\ncr_20170201\00003\19\19_20170201190529892000.ncr</t>
  </si>
  <si>
    <t>FN_191900</t>
  </si>
  <si>
    <t>\\odbto211609120a\z\HD31_20170207入手\CM-32\ncr_20170201\00003\19\20_20170201190529892000.ncr</t>
  </si>
  <si>
    <t>FN_192033</t>
  </si>
  <si>
    <t>\\odbto211609120a\z\HD31_20170207入手\CM-32\ncr_20170201\00003\19\21_20170201190529892000.ncr</t>
  </si>
  <si>
    <t>FN_192100</t>
  </si>
  <si>
    <t>\\odbto211609120a\z\HD31_20170207入手\CM-32\ncr_20170201\00003\19\23_20170201190529892000.ncr</t>
  </si>
  <si>
    <t>FN_192315</t>
  </si>
  <si>
    <t>\\odbto211609120a\z\HD31_20170207入手\CM-32\ncr_20170201\00003\19\24_20170201190529892000.ncr</t>
  </si>
  <si>
    <t>FN_192428</t>
  </si>
  <si>
    <t>\\odbto211609120a\z\HD31_20170207入手\CM-32\ncr_20170201\00003\19\25_20170201190529892000.ncr</t>
  </si>
  <si>
    <t>FN_192523</t>
  </si>
  <si>
    <t>\\odbto211609120a\z\HD31_20170207入手\CM-32\ncr_20170201\00003\19\26_20170201190529892000.ncr</t>
  </si>
  <si>
    <t>FN_192641</t>
  </si>
  <si>
    <t>\\odbto211609120a\z\HD31_20170207入手\CM-32\ncr_20170201\00003\19\27_20170201190529892000.ncr</t>
  </si>
  <si>
    <t>\\odbto211609120a\z\HD31_20170207入手\CM-32\ncr_20170201\00003\19\28_20170201190529892000.ncr</t>
  </si>
  <si>
    <t>\\odbto211609120a\z\HD31_20170207入手\CM-32\ncr_20170201\00003\19\29_20170201190529892000.ncr</t>
  </si>
  <si>
    <t>FN_192943</t>
  </si>
  <si>
    <t>\\odbto211609120a\z\HD31_20170207入手\CM-32\ncr_20170201\00003\19\31_20170201190529892000.ncr</t>
  </si>
  <si>
    <t>\\odbto211609120a\z\HD31_20170207入手\CM-32\ncr_20170201\00003\19\32_20170201190529892000.ncr</t>
  </si>
  <si>
    <t>\\odbto211609120a\z\HD31_20170207入手\CM-32\ncr_20170201\00003\19\36_20170201190529892000.ncr</t>
  </si>
  <si>
    <t>FN_193610</t>
  </si>
  <si>
    <t>\\odbto211609120a\z\HD31_20170207入手\CM-32\ncr_20170201\00003\19\36_20170201190529892000.ncr_C2</t>
  </si>
  <si>
    <t>FN_193642</t>
  </si>
  <si>
    <t>\\odbto211609120a\z\HD31_20170207入手\CM-32\ncr_20170201\00003\19\37_20170201190529892000.ncr</t>
  </si>
  <si>
    <t>\\odbto211609120a\z\HD31_20170207入手\CM-32\ncr_20170201\00003\19\46_20170201194203334000.ncr</t>
  </si>
  <si>
    <t>FN_194559</t>
  </si>
  <si>
    <t>\\odbto211609120a\z\HD31_20170207入手\CM-32\ncr_20170201\00003\19\47_20170201194203334000.ncr</t>
  </si>
  <si>
    <t>FN_194659</t>
  </si>
  <si>
    <t>\\odbto211609120a\z\HD31_20170207入手\CM-32\ncr_20170201\00003\19\48_20170201194203334000.ncr</t>
  </si>
  <si>
    <t>FN_194759</t>
  </si>
  <si>
    <t>\\odbto211609120a\z\HD31_20170207入手\CM-32\ncr_20170201\00003\19\49_20170201194203334000.ncr</t>
  </si>
  <si>
    <t>FN_194905</t>
  </si>
  <si>
    <t>\\odbto211609120a\z\HD31_20170207入手\CM-32\ncr_20170201\00003\19\50_20170201194203334000.ncr</t>
  </si>
  <si>
    <t>後</t>
    <rPh sb="0" eb="1">
      <t>アト</t>
    </rPh>
    <phoneticPr fontId="1"/>
  </si>
  <si>
    <t>FN_195025</t>
  </si>
  <si>
    <t>\\odbto211609120a\z\HD31_20170207入手\CM-32\ncr_20170201\00003\19\51_20170201194203334000.ncr</t>
  </si>
  <si>
    <t>\\odbto211609120a\z\HD31_20170207入手\CM-32\ncr_20170201\00003\19\54_20170201194203334000.ncr</t>
  </si>
  <si>
    <t>FN_195359</t>
  </si>
  <si>
    <t>\\odbto211609120a\z\HD31_20170207入手\CM-32\ncr_20170201\00003\19\55_20170201194203334000.ncr</t>
  </si>
  <si>
    <t>FN_195549</t>
  </si>
  <si>
    <t>\\odbto211609120a\z\HD31_20170207入手\CM-32\ncr_20170201\00003\19\56_20170201194203334000.ncr</t>
  </si>
  <si>
    <t>FN_195618</t>
  </si>
  <si>
    <t>\\odbto211609120a\z\HD31_20170207入手\CM-32\ncr_20170201\00003\20\01_20170201194203334000.ncr</t>
  </si>
  <si>
    <t>FN_200127</t>
  </si>
  <si>
    <t>\\odbto211609120a\z\HD31_20170207入手\CM-32\ncr_20170201\00003\20\02_20170201194203334000.ncr</t>
  </si>
  <si>
    <t>FN_200202</t>
  </si>
  <si>
    <t>\\odbto211609120a\z\HD31_20170207入手\CM-32\ncr_20170201\00003\20\09_20170201200804092000.ncr</t>
  </si>
  <si>
    <t>\\odbto211609120a\z\HD31_20170207入手\CM-32\ncr_20170201\00003\20\10_20170201200804092000.ncr</t>
  </si>
  <si>
    <t>FN_201032</t>
  </si>
  <si>
    <t>\\odbto211609120a\z\HD31_20170207入手\CM-32\ncr_20170201\00003\20\12_20170201200804092000.ncr</t>
  </si>
  <si>
    <t>FN_201204</t>
  </si>
  <si>
    <t>\\odbto211609120a\z\HD31_20170207入手\CM-32\ncr_20170201\00003\20\13_20170201200804092000.ncr</t>
  </si>
  <si>
    <t>\\odbto211609120a\z\HD31_20170207入手\CM-32\ncr_20170201\00003\20\14_20170201200804092000.ncr</t>
  </si>
  <si>
    <t>FN_201402</t>
  </si>
  <si>
    <t>\\odbto211609120a\z\HD31_20170207入手\CM-32\ncr_20170201\00003\20\14_20170201200804092000.ncr_C2</t>
  </si>
  <si>
    <t>\\odbto211609120a\z\HD31_20170207入手\CM-32\ncr_20170201\00003\20\16_20170201201601689000.ncr</t>
  </si>
  <si>
    <t>FN_201651</t>
  </si>
  <si>
    <t>\\odbto211609120a\z\HD31_20170207入手\CM-32\ncr_20170201\00003\20\16_20170201201601689000.ncr_C2</t>
  </si>
  <si>
    <t>\\odbto211609120a\z\HD31_20170207入手\CM-32\ncr_20170201\00003\20\20_20170201201601689000.ncr</t>
  </si>
  <si>
    <t>FN_202005</t>
  </si>
  <si>
    <t>\\odbto211609120a\z\HD31_20170207入手\CM-32\ncr_20170201\00003\20\24_20170201201601689000.ncr</t>
  </si>
  <si>
    <t>\\odbto211609120a\z\HD31_20170207入手\CM-32\ncr_20170201\00003\20\25_20170201201601689000.ncr</t>
  </si>
  <si>
    <t>\\odbto211609120a\z\HD31_20170207入手\CM-32\ncr_20170201\00003\20\30_20170201202757537000.ncr</t>
  </si>
  <si>
    <t>FN_203053</t>
  </si>
  <si>
    <t>\\odbto211609120a\z\HD31_20170207入手\CM-32\ncr_20170201\00003\20\31_20170201202757537000.ncr</t>
  </si>
  <si>
    <t>FN_203100</t>
  </si>
  <si>
    <t>\\odbto211609120a\z\HD31_20170207入手\CM-32\ncr_20170201\00003\20\33_20170201202757537000.ncr</t>
  </si>
  <si>
    <t>FN_203300</t>
  </si>
  <si>
    <t>\\odbto211609120a\z\HD31_20170207入手\CM-32\ncr_20170201\00003\20\40_20170201203910706000.ncr</t>
  </si>
  <si>
    <t>FN_204018</t>
  </si>
  <si>
    <t>\\odbto211609120a\z\HD31_20170207入手\CM-32\ncr_20170201\00003\20\46_20170201203910706000.ncr</t>
  </si>
  <si>
    <t>\\odbto211609120a\z\HD31_20170207入手\CM-32\ncr_20170201\00003\20\47_20170201203910706000.ncr</t>
  </si>
  <si>
    <t>FN_204704</t>
  </si>
  <si>
    <t>\\odbto211609120a\z\HD31_20170207入手\CM-32\ncr_20170201\00003\20\48_20170201203910706000.ncr</t>
  </si>
  <si>
    <t>FN_204800</t>
  </si>
  <si>
    <t>\\odbto211609120a\z\HD31_20170207入手\CM-32\ncr_20170201\00003\20\49_20170201203910706000.ncr</t>
  </si>
  <si>
    <t>FN_204900</t>
  </si>
  <si>
    <t>\\odbto211609120a\z\HD31_20170207入手\CM-32\ncr_20170201\00003\20\51_20170201203910706000.ncr</t>
  </si>
  <si>
    <t>FN_205120</t>
  </si>
  <si>
    <t>\\odbto211609120a\z\HD31_20170207入手\CM-32\ncr_20170201\00003\20\52_20170201203910706000.ncr</t>
  </si>
  <si>
    <t>FN_205200</t>
  </si>
  <si>
    <t>\\odbto211609120a\z\HD31_20170207入手\CM-32\ncr_20170201\00003\20\55_20170201203910706000.ncr</t>
  </si>
  <si>
    <t>FN_205527</t>
  </si>
  <si>
    <t>\\odbto211609120a\z\HD31_20170207入手\CM-32\ncr_20170201\00003\20\56_20170201203910706000.ncr</t>
  </si>
  <si>
    <t>FN_205559</t>
  </si>
  <si>
    <t>\\odbto211609120a\z\HD31_20170207入手\CM-32\ncr_20170201\00003\21\01_20170201210141545000.ncr</t>
  </si>
  <si>
    <t>\\odbto211609120a\z\HD31_20170207入手\CM-32\ncr_20170201\00003\21\18_20170201211655873000.ncr</t>
  </si>
  <si>
    <t>\\odbto211609120a\z\HD31_20170207入手\CM-32\ncr_20170201\00003\21\19_20170201211655873000.ncr</t>
  </si>
  <si>
    <t>\\odbto211609120a\z\HD31_20170207入手\CM-32\ncr_20170201\00003\21\26_20170201212513342000.ncr</t>
  </si>
  <si>
    <t>FN_212637</t>
  </si>
  <si>
    <t>\\odbto211609120a\z\HD31_20170207入手\CM-32\ncr_20170201\00003\21\28_20170201212842215000.ncr</t>
  </si>
  <si>
    <t>\\odbto211609120a\z\HD31_20170207入手\CM-32\ncr_20170201\00003\21\29_20170201212842215000.ncr</t>
  </si>
  <si>
    <t>\\odbto211609120a\z\HD31_20170207入手\CM-32\ncr_20170201\00003\21\32_20170201213059970000.ncr</t>
  </si>
  <si>
    <t>FN_213206</t>
  </si>
  <si>
    <t>\\odbto211609120a\z\HD31_20170207入手\CM-32\ncr_20170201\00003\21\35_20170201213059970000.ncr</t>
  </si>
  <si>
    <t>FN_213543</t>
  </si>
  <si>
    <t>\\odbto211609120a\z\HD31_20170207入手\CM-32\ncr_20170201\00003\21\38_20170201213059970000.ncr</t>
  </si>
  <si>
    <t>FN_213841</t>
  </si>
  <si>
    <t>\\odbto211609120a\z\HD31_20170207入手\CM-32\ncr_20170201\00003\21\40_20170201213059970000.ncr</t>
  </si>
  <si>
    <t>FN_214000</t>
  </si>
  <si>
    <t>\\odbto211609120a\z\HD31_20170207入手\CM-32\ncr_20170201\00003\21\41_20170201213059970000.ncr</t>
  </si>
  <si>
    <t>FN_214100</t>
  </si>
  <si>
    <t>\\odbto211609120a\z\HD31_20170207入手\CM-32\ncr_20170201\00003\21\42_20170201213059970000.ncr</t>
  </si>
  <si>
    <t>FN_214248</t>
  </si>
  <si>
    <t>\\odbto211609120a\z\HD31_20170207入手\CM-32\ncr_20170201\00003\21\43_20170201213059970000.ncr</t>
  </si>
  <si>
    <t>FN_214311</t>
  </si>
  <si>
    <t>\\odbto211609120a\z\HD31_20170207入手\CM-32\ncr_20170201\00003\21\44_20170201213059970000.ncr</t>
  </si>
  <si>
    <t>FN_214400</t>
  </si>
  <si>
    <t>\\odbto211609120a\z\HD31_20170207入手\CM-32\ncr_20170201\00003\21\46_20170201214609028000.ncr</t>
  </si>
  <si>
    <t>FN_214625</t>
  </si>
  <si>
    <t>↑結合↑</t>
  </si>
  <si>
    <t>++FN_102859</t>
  </si>
  <si>
    <t>++FN_103359</t>
  </si>
  <si>
    <t>++FN_103459</t>
  </si>
  <si>
    <t>++FN_110059</t>
  </si>
  <si>
    <t>++FN_110259</t>
  </si>
  <si>
    <t>++FN_113759</t>
  </si>
  <si>
    <t>++FN_115400</t>
  </si>
  <si>
    <t>++FN_115802</t>
  </si>
  <si>
    <t>++FN_115859</t>
  </si>
  <si>
    <t>++FN_120059</t>
  </si>
  <si>
    <t>++FN_120608</t>
  </si>
  <si>
    <t>++FN_120700</t>
  </si>
  <si>
    <t>++FN_124159</t>
  </si>
  <si>
    <t>++FN_130409</t>
  </si>
  <si>
    <t>++FN_131559</t>
  </si>
  <si>
    <t>++FN_132659</t>
  </si>
  <si>
    <t>++FN_141300</t>
  </si>
  <si>
    <t>++FN_142342</t>
  </si>
  <si>
    <t>++FN_142424</t>
  </si>
  <si>
    <t>++FN_145359</t>
  </si>
  <si>
    <t>++FN_150120</t>
  </si>
  <si>
    <t>++FN_151900</t>
  </si>
  <si>
    <t>++FN_152000</t>
  </si>
  <si>
    <t>++FN_154300</t>
  </si>
  <si>
    <t>++FN_161559</t>
  </si>
  <si>
    <t>++FN_164300</t>
  </si>
  <si>
    <t>++FN_164500</t>
  </si>
  <si>
    <t>++FN_164700</t>
  </si>
  <si>
    <t>++FN_171100</t>
  </si>
  <si>
    <t>++FN_171320</t>
  </si>
  <si>
    <t>++FN_171459</t>
  </si>
  <si>
    <t>++FN_171559</t>
  </si>
  <si>
    <t>++FN_173359</t>
  </si>
  <si>
    <t>++FN_175100</t>
  </si>
  <si>
    <t>++FN_175400</t>
  </si>
  <si>
    <t>++FN_180400</t>
  </si>
  <si>
    <t>++FN_181200</t>
  </si>
  <si>
    <t>++FN_181400</t>
  </si>
  <si>
    <t>++FN_181500</t>
  </si>
  <si>
    <t>++FN_181805</t>
  </si>
  <si>
    <t>++FN_181900</t>
  </si>
  <si>
    <t>++FN_182000</t>
  </si>
  <si>
    <t>++FN_191202</t>
  </si>
  <si>
    <t>++FN_191400</t>
  </si>
  <si>
    <t>++FN_191500</t>
  </si>
  <si>
    <t>++FN_191822</t>
  </si>
  <si>
    <t>++FN_192100</t>
  </si>
  <si>
    <t>++FN_194659</t>
  </si>
  <si>
    <t>++FN_194759</t>
  </si>
  <si>
    <t>++FN_200202</t>
  </si>
  <si>
    <t>++FN_203100</t>
  </si>
  <si>
    <t>++FN_204800</t>
  </si>
  <si>
    <t>++FN_204900</t>
  </si>
  <si>
    <t>++FN_205200</t>
  </si>
  <si>
    <t>++FN_205559</t>
  </si>
  <si>
    <t>++FN_214000</t>
  </si>
  <si>
    <t>++FN_214311</t>
  </si>
  <si>
    <t>++FN_214400</t>
  </si>
  <si>
    <t>竹下</t>
    <rPh sb="0" eb="2">
      <t>タケシタ</t>
    </rPh>
    <phoneticPr fontId="1"/>
  </si>
  <si>
    <t>具志堅</t>
    <rPh sb="0" eb="3">
      <t>グシケン</t>
    </rPh>
    <phoneticPr fontId="1"/>
  </si>
  <si>
    <t>岡本</t>
    <rPh sb="0" eb="2">
      <t>オカモト</t>
    </rPh>
    <phoneticPr fontId="1"/>
  </si>
  <si>
    <t>谷口</t>
    <rPh sb="0" eb="2">
      <t>タニグチ</t>
    </rPh>
    <phoneticPr fontId="1"/>
  </si>
  <si>
    <t>牟田</t>
    <rPh sb="0" eb="2">
      <t>ムタ</t>
    </rPh>
    <phoneticPr fontId="1"/>
  </si>
  <si>
    <t>竹下</t>
    <phoneticPr fontId="1"/>
  </si>
  <si>
    <t>1122,566/</t>
  </si>
  <si>
    <t>女</t>
  </si>
  <si>
    <t>×</t>
  </si>
  <si>
    <t>242,519/</t>
  </si>
  <si>
    <t>445,543//</t>
    <phoneticPr fontId="1"/>
  </si>
  <si>
    <t>女/女</t>
    <phoneticPr fontId="1"/>
  </si>
  <si>
    <t>×/○</t>
    <phoneticPr fontId="1"/>
  </si>
  <si>
    <t>×/×</t>
    <phoneticPr fontId="1"/>
  </si>
  <si>
    <t>×/×</t>
    <phoneticPr fontId="1"/>
  </si>
  <si>
    <t>1215,425/</t>
  </si>
  <si>
    <t>男</t>
  </si>
  <si>
    <t>○</t>
  </si>
  <si>
    <t>695,531/342,576/391,579</t>
  </si>
  <si>
    <t>1113,478/</t>
  </si>
  <si>
    <t>692,591/</t>
  </si>
  <si>
    <t>K</t>
  </si>
  <si>
    <t>589,552/</t>
  </si>
  <si>
    <t>FN_115722</t>
    <phoneticPr fontId="1"/>
  </si>
  <si>
    <t>imgdir=\\odbto211609120a\z\HD31_20170207入手\CM-32\ncr_20170201\行動解析\FN_115722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</si>
</sst>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h:mm;@"/>
  </numFmts>
  <fonts count="2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indexed="10"/>
      <name val="ＭＳ Ｐゴシック"/>
      <family val="2"/>
      <charset val="128"/>
      <scheme val="minor"/>
    </font>
    <font>
      <b/>
      <sz val="11"/>
      <color indexed="1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00B0F0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1"/>
      <color theme="5" tint="-0.499984740745262"/>
      <name val="ＭＳ Ｐゴシック"/>
      <family val="3"/>
      <charset val="128"/>
      <scheme val="minor"/>
    </font>
    <font>
      <b/>
      <sz val="11"/>
      <color rgb="FF002060"/>
      <name val="ＭＳ Ｐゴシック"/>
      <family val="3"/>
      <charset val="128"/>
      <scheme val="minor"/>
    </font>
    <font>
      <sz val="14"/>
      <color rgb="FFFF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b/>
      <sz val="36"/>
      <color indexed="10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rgb="FFFF0000"/>
      <name val="ＭＳ Ｐゴシック"/>
      <family val="2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2"/>
      <color theme="1"/>
      <name val="MS UI Gothic"/>
      <family val="3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MS UI Gothic"/>
      <family val="3"/>
      <charset val="128"/>
    </font>
    <font>
      <sz val="11"/>
      <color theme="1"/>
      <name val="ＭＳ Ｐゴシック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8ACFA"/>
        <bgColor indexed="64"/>
      </patternFill>
    </fill>
    <fill>
      <patternFill patternType="solid">
        <fgColor rgb="FFFADA9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0" fillId="0" borderId="0" xfId="0" applyNumberFormat="1">
      <alignment vertic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7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9" fillId="0" borderId="0" xfId="0" applyFont="1">
      <alignment vertical="center"/>
    </xf>
    <xf numFmtId="0" fontId="6" fillId="3" borderId="0" xfId="0" applyFont="1" applyFill="1" applyAlignment="1">
      <alignment horizontal="left" vertical="top"/>
    </xf>
    <xf numFmtId="0" fontId="8" fillId="4" borderId="0" xfId="0" applyFont="1" applyFill="1" applyAlignment="1">
      <alignment vertical="center" shrinkToFit="1"/>
    </xf>
    <xf numFmtId="0" fontId="2" fillId="5" borderId="0" xfId="0" applyFont="1" applyFill="1" applyAlignment="1">
      <alignment vertical="center" wrapText="1"/>
    </xf>
    <xf numFmtId="0" fontId="3" fillId="8" borderId="0" xfId="0" applyFont="1" applyFill="1" applyBorder="1" applyAlignment="1">
      <alignment horizontal="center" vertical="center" shrinkToFit="1"/>
    </xf>
    <xf numFmtId="0" fontId="0" fillId="2" borderId="0" xfId="0" applyFill="1" applyAlignment="1">
      <alignment horizontal="center" vertical="center" wrapText="1"/>
    </xf>
    <xf numFmtId="22" fontId="4" fillId="0" borderId="0" xfId="0" applyNumberFormat="1" applyFont="1">
      <alignment vertical="center"/>
    </xf>
    <xf numFmtId="0" fontId="2" fillId="4" borderId="0" xfId="0" applyFont="1" applyFill="1" applyAlignment="1">
      <alignment vertical="center"/>
    </xf>
    <xf numFmtId="0" fontId="7" fillId="4" borderId="0" xfId="0" applyFont="1" applyFill="1" applyAlignment="1">
      <alignment vertical="center" shrinkToFit="1"/>
    </xf>
    <xf numFmtId="0" fontId="4" fillId="2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 wrapText="1"/>
    </xf>
    <xf numFmtId="2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49" fontId="7" fillId="0" borderId="0" xfId="0" applyNumberFormat="1" applyFont="1">
      <alignment vertical="center"/>
    </xf>
    <xf numFmtId="0" fontId="4" fillId="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13" fillId="4" borderId="0" xfId="0" applyFont="1" applyFill="1" applyAlignment="1">
      <alignment vertical="center" shrinkToFit="1"/>
    </xf>
    <xf numFmtId="0" fontId="15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 shrinkToFit="1"/>
    </xf>
    <xf numFmtId="176" fontId="0" fillId="0" borderId="0" xfId="0" applyNumberFormat="1" applyAlignment="1">
      <alignment horizontal="center" vertical="center"/>
    </xf>
    <xf numFmtId="0" fontId="19" fillId="13" borderId="10" xfId="0" applyFont="1" applyFill="1" applyBorder="1" applyAlignment="1">
      <alignment horizontal="center" vertical="center" wrapText="1"/>
    </xf>
    <xf numFmtId="0" fontId="19" fillId="13" borderId="10" xfId="0" applyFont="1" applyFill="1" applyBorder="1" applyAlignment="1">
      <alignment horizontal="center" vertical="center"/>
    </xf>
    <xf numFmtId="0" fontId="21" fillId="13" borderId="10" xfId="0" applyFont="1" applyFill="1" applyBorder="1" applyAlignment="1">
      <alignment horizontal="left" vertical="center"/>
    </xf>
    <xf numFmtId="0" fontId="19" fillId="13" borderId="10" xfId="0" applyFont="1" applyFill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6" fillId="12" borderId="5" xfId="0" applyFont="1" applyFill="1" applyBorder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7" fillId="12" borderId="7" xfId="0" applyFont="1" applyFill="1" applyBorder="1" applyAlignment="1">
      <alignment horizontal="center" vertical="center"/>
    </xf>
    <xf numFmtId="0" fontId="12" fillId="12" borderId="8" xfId="0" applyFont="1" applyFill="1" applyBorder="1" applyAlignment="1">
      <alignment horizontal="center" vertical="center"/>
    </xf>
    <xf numFmtId="0" fontId="12" fillId="12" borderId="9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 wrapText="1"/>
    </xf>
    <xf numFmtId="0" fontId="10" fillId="10" borderId="0" xfId="0" applyFont="1" applyFill="1" applyBorder="1" applyAlignment="1">
      <alignment horizontal="center" vertical="center" shrinkToFit="1"/>
    </xf>
    <xf numFmtId="0" fontId="14" fillId="3" borderId="0" xfId="0" applyFont="1" applyFill="1" applyAlignment="1">
      <alignment horizontal="left" vertical="top" wrapText="1"/>
    </xf>
    <xf numFmtId="0" fontId="14" fillId="3" borderId="0" xfId="0" applyFont="1" applyFill="1" applyAlignment="1">
      <alignment horizontal="left" vertical="top"/>
    </xf>
    <xf numFmtId="0" fontId="2" fillId="6" borderId="0" xfId="0" applyFont="1" applyFill="1" applyAlignment="1">
      <alignment vertical="center" wrapText="1"/>
    </xf>
    <xf numFmtId="0" fontId="2" fillId="5" borderId="0" xfId="0" applyFont="1" applyFill="1" applyAlignment="1">
      <alignment vertical="center" wrapText="1"/>
    </xf>
    <xf numFmtId="0" fontId="11" fillId="9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56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10">
    <dxf>
      <font>
        <color theme="7" tint="0.59996337778862885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3300"/>
      <color rgb="FFFFCCFF"/>
      <color rgb="FFFF99FF"/>
      <color rgb="FFFADA9A"/>
      <color rgb="FFF8AC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6791325</xdr:colOff>
          <xdr:row>1</xdr:row>
          <xdr:rowOff>238125</xdr:rowOff>
        </xdr:from>
        <xdr:to>
          <xdr:col>2</xdr:col>
          <xdr:colOff>1171575</xdr:colOff>
          <xdr:row>1</xdr:row>
          <xdr:rowOff>733425</xdr:rowOff>
        </xdr:to>
        <xdr:sp macro="" textlink="">
          <xdr:nvSpPr>
            <xdr:cNvPr id="1025" name="imgData作成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390525</xdr:rowOff>
        </xdr:from>
        <xdr:to>
          <xdr:col>15</xdr:col>
          <xdr:colOff>104775</xdr:colOff>
          <xdr:row>1</xdr:row>
          <xdr:rowOff>838200</xdr:rowOff>
        </xdr:to>
        <xdr:sp macro="" textlink="">
          <xdr:nvSpPr>
            <xdr:cNvPr id="1026" name="モザイク起動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76200</xdr:colOff>
          <xdr:row>1</xdr:row>
          <xdr:rowOff>400050</xdr:rowOff>
        </xdr:from>
        <xdr:to>
          <xdr:col>28</xdr:col>
          <xdr:colOff>314325</xdr:colOff>
          <xdr:row>1</xdr:row>
          <xdr:rowOff>838200</xdr:rowOff>
        </xdr:to>
        <xdr:sp macro="" textlink="">
          <xdr:nvSpPr>
            <xdr:cNvPr id="1028" name="行動データ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1</xdr:row>
          <xdr:rowOff>447675</xdr:rowOff>
        </xdr:from>
        <xdr:to>
          <xdr:col>22</xdr:col>
          <xdr:colOff>571500</xdr:colOff>
          <xdr:row>1</xdr:row>
          <xdr:rowOff>838200</xdr:rowOff>
        </xdr:to>
        <xdr:sp macro="" textlink="">
          <xdr:nvSpPr>
            <xdr:cNvPr id="1029" name="関節点処理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4133850</xdr:colOff>
          <xdr:row>1</xdr:row>
          <xdr:rowOff>609600</xdr:rowOff>
        </xdr:from>
        <xdr:to>
          <xdr:col>1</xdr:col>
          <xdr:colOff>5105400</xdr:colOff>
          <xdr:row>1</xdr:row>
          <xdr:rowOff>895350</xdr:rowOff>
        </xdr:to>
        <xdr:sp macro="" textlink="">
          <xdr:nvSpPr>
            <xdr:cNvPr id="1030" name="カットの追加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85725</xdr:rowOff>
        </xdr:from>
        <xdr:to>
          <xdr:col>6</xdr:col>
          <xdr:colOff>400050</xdr:colOff>
          <xdr:row>1</xdr:row>
          <xdr:rowOff>457200</xdr:rowOff>
        </xdr:to>
        <xdr:sp macro="" textlink="">
          <xdr:nvSpPr>
            <xdr:cNvPr id="1032" name="BMP結合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workbookViewId="0">
      <selection activeCell="A3" sqref="A3:B3"/>
    </sheetView>
  </sheetViews>
  <sheetFormatPr defaultRowHeight="13.5"/>
  <cols>
    <col min="1" max="1" width="18" customWidth="1"/>
    <col min="2" max="2" width="17.875" customWidth="1"/>
    <col min="3" max="3" width="20.875" customWidth="1"/>
  </cols>
  <sheetData>
    <row r="1" spans="1:3" ht="27.75" customHeight="1">
      <c r="A1" s="31" t="s">
        <v>44</v>
      </c>
      <c r="B1" s="31" t="s">
        <v>45</v>
      </c>
    </row>
    <row r="2" spans="1:3" ht="24.75" customHeight="1" thickBot="1">
      <c r="A2" s="32" t="str">
        <f>IF(MID(該当動画の処理進捗!B5,40,3)="32\","用賀の右",IF(MID(該当動画の処理進捗!B5,40,3)="22\","茶沢の右",IF(MID(該当動画の処理進捗!B5,40,3)="12\","尾山の右","")))</f>
        <v>用賀の右</v>
      </c>
      <c r="B2" s="32" t="str">
        <f>MID(該当動画の処理進捗!B5,47,8)</f>
        <v>20170201</v>
      </c>
    </row>
    <row r="3" spans="1:3">
      <c r="A3" s="40" t="s">
        <v>46</v>
      </c>
      <c r="B3" s="40"/>
    </row>
    <row r="5" spans="1:3" ht="14.25" thickBot="1"/>
    <row r="6" spans="1:3" ht="21" customHeight="1">
      <c r="A6" s="41" t="s">
        <v>47</v>
      </c>
      <c r="B6" s="42"/>
      <c r="C6" s="43"/>
    </row>
    <row r="7" spans="1:3" ht="19.5" customHeight="1" thickBot="1">
      <c r="A7" s="44" t="s">
        <v>49</v>
      </c>
      <c r="B7" s="45"/>
      <c r="C7" s="46"/>
    </row>
  </sheetData>
  <mergeCells count="3">
    <mergeCell ref="A3:B3"/>
    <mergeCell ref="A6:C6"/>
    <mergeCell ref="A7:C7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>
    <tabColor rgb="FFFF0000"/>
  </sheetPr>
  <dimension ref="A1:AE1294"/>
  <sheetViews>
    <sheetView tabSelected="1" workbookViewId="0">
      <pane xSplit="1" ySplit="4" topLeftCell="C24" activePane="bottomRight" state="frozen"/>
      <selection pane="topRight" activeCell="B1" sqref="B1"/>
      <selection pane="bottomLeft" activeCell="A5" sqref="A5"/>
      <selection pane="bottomRight" activeCell="H34" sqref="H34"/>
    </sheetView>
  </sheetViews>
  <sheetFormatPr defaultRowHeight="13.5"/>
  <cols>
    <col min="1" max="1" width="13.75" style="8" customWidth="1"/>
    <col min="2" max="2" width="95.25" customWidth="1"/>
    <col min="3" max="3" width="15.875" style="8" customWidth="1"/>
    <col min="4" max="4" width="9" style="8"/>
    <col min="5" max="5" width="7.625" style="3" customWidth="1"/>
    <col min="6" max="6" width="5.875" style="3" customWidth="1"/>
    <col min="7" max="7" width="5.75" style="3" customWidth="1"/>
    <col min="8" max="8" width="22.625" style="9" customWidth="1"/>
    <col min="9" max="16" width="3.625" style="25" customWidth="1"/>
    <col min="17" max="17" width="3.625" style="25" hidden="1" customWidth="1"/>
    <col min="18" max="18" width="3.625" style="25" customWidth="1"/>
    <col min="19" max="19" width="16.375" customWidth="1"/>
    <col min="20" max="20" width="6.625" style="8" customWidth="1"/>
    <col min="21" max="21" width="31" customWidth="1"/>
    <col min="22" max="22" width="15.875" customWidth="1"/>
    <col min="23" max="23" width="8.625" style="8" customWidth="1"/>
    <col min="24" max="24" width="9" style="10"/>
    <col min="25" max="26" width="3.625" hidden="1" customWidth="1"/>
    <col min="27" max="27" width="30.375" customWidth="1"/>
    <col min="28" max="28" width="15.75" style="8" customWidth="1"/>
    <col min="29" max="29" width="8.5" style="8" customWidth="1"/>
    <col min="30" max="30" width="14.625" style="8" customWidth="1"/>
  </cols>
  <sheetData>
    <row r="1" spans="1:31" ht="22.5" customHeight="1">
      <c r="A1" s="8">
        <v>117</v>
      </c>
      <c r="B1" s="20" t="str">
        <f>元データー!A7</f>
        <v>C:\Users\konicaminolta\Desktop\行動解析_soft</v>
      </c>
      <c r="C1" s="33"/>
      <c r="D1" s="8" t="s">
        <v>41</v>
      </c>
      <c r="H1" s="3" t="s">
        <v>595</v>
      </c>
      <c r="I1" s="28" t="s">
        <v>42</v>
      </c>
      <c r="J1" s="47">
        <v>1500</v>
      </c>
      <c r="K1" s="47"/>
      <c r="L1" s="29" t="s">
        <v>43</v>
      </c>
      <c r="M1" s="48">
        <v>300</v>
      </c>
      <c r="N1" s="48"/>
      <c r="O1" s="3"/>
      <c r="P1" s="3"/>
      <c r="Q1" s="3"/>
      <c r="R1" s="3"/>
      <c r="S1" s="3">
        <v>34</v>
      </c>
      <c r="T1" s="3" t="s">
        <v>577</v>
      </c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1" ht="72" customHeight="1">
      <c r="A2" s="7"/>
      <c r="B2" s="51" t="str">
        <f>元データー!A2 &amp; "  " &amp;元データー!B2</f>
        <v>用賀の右  20170201</v>
      </c>
      <c r="C2" s="52"/>
      <c r="D2" s="52"/>
      <c r="E2" s="52"/>
      <c r="F2" s="14"/>
      <c r="G2" s="14"/>
      <c r="H2" s="53" t="s">
        <v>17</v>
      </c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4" t="s">
        <v>19</v>
      </c>
      <c r="V2" s="54"/>
      <c r="W2" s="54"/>
      <c r="X2" s="54"/>
      <c r="Y2" s="16"/>
      <c r="Z2" s="16"/>
      <c r="AA2" s="49" t="s">
        <v>18</v>
      </c>
      <c r="AB2" s="49"/>
      <c r="AC2" s="49"/>
      <c r="AD2" s="49"/>
    </row>
    <row r="3" spans="1:31" s="11" customFormat="1">
      <c r="A3" s="12"/>
      <c r="B3" s="30" t="s">
        <v>48</v>
      </c>
      <c r="C3" s="34"/>
      <c r="D3" s="21"/>
      <c r="E3" s="21"/>
      <c r="F3" s="15"/>
      <c r="G3" s="15"/>
      <c r="H3" s="55" t="str">
        <f>B1 &amp; "\label_maker2（モザイク処理モード）_V2.1"</f>
        <v>C:\Users\konicaminolta\Desktop\行動解析_soft\label_maker2（モザイク処理モード）_V2.1</v>
      </c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6" t="str">
        <f>B1 &amp; "\label_maker2（関節点モード）"</f>
        <v>C:\Users\konicaminolta\Desktop\行動解析_soft\label_maker2（関節点モード）</v>
      </c>
      <c r="V3" s="56"/>
      <c r="W3" s="56"/>
      <c r="X3" s="56"/>
      <c r="Y3" s="17"/>
      <c r="Z3" s="17"/>
      <c r="AA3" s="50" t="str">
        <f>B1 &amp; "\label_maker"</f>
        <v>C:\Users\konicaminolta\Desktop\行動解析_soft\label_maker</v>
      </c>
      <c r="AB3" s="50"/>
      <c r="AC3" s="50"/>
      <c r="AD3" s="50"/>
      <c r="AE3" s="12"/>
    </row>
    <row r="4" spans="1:31" ht="54">
      <c r="B4" s="18" t="s">
        <v>36</v>
      </c>
      <c r="C4" s="8" t="s">
        <v>1</v>
      </c>
      <c r="D4" s="8" t="s">
        <v>2</v>
      </c>
      <c r="E4" s="10" t="s">
        <v>33</v>
      </c>
      <c r="F4" s="10"/>
      <c r="G4" s="10"/>
      <c r="H4" s="26" t="s">
        <v>35</v>
      </c>
      <c r="I4" s="22" t="s">
        <v>26</v>
      </c>
      <c r="J4" s="22" t="s">
        <v>27</v>
      </c>
      <c r="K4" s="22" t="s">
        <v>28</v>
      </c>
      <c r="L4" s="22" t="s">
        <v>29</v>
      </c>
      <c r="M4" s="22" t="s">
        <v>30</v>
      </c>
      <c r="N4" s="22" t="s">
        <v>37</v>
      </c>
      <c r="O4" s="22" t="s">
        <v>38</v>
      </c>
      <c r="P4" s="22" t="s">
        <v>39</v>
      </c>
      <c r="Q4" s="22"/>
      <c r="R4" s="23" t="s">
        <v>34</v>
      </c>
      <c r="S4" s="8" t="s">
        <v>1</v>
      </c>
      <c r="T4" s="8" t="s">
        <v>2</v>
      </c>
      <c r="U4" s="1" t="s">
        <v>0</v>
      </c>
      <c r="V4" s="8" t="s">
        <v>1</v>
      </c>
      <c r="W4" s="18" t="s">
        <v>32</v>
      </c>
      <c r="X4" s="10" t="s">
        <v>2</v>
      </c>
      <c r="Y4" s="8"/>
      <c r="Z4" s="8"/>
      <c r="AA4" s="1" t="s">
        <v>0</v>
      </c>
      <c r="AB4" s="8" t="s">
        <v>1</v>
      </c>
      <c r="AC4" s="18" t="s">
        <v>31</v>
      </c>
      <c r="AD4" s="8" t="s">
        <v>2</v>
      </c>
    </row>
    <row r="5" spans="1:31">
      <c r="A5" s="10">
        <v>1</v>
      </c>
      <c r="B5" t="s">
        <v>87</v>
      </c>
      <c r="C5" s="35">
        <v>42797.468078703707</v>
      </c>
      <c r="D5" s="8" t="s">
        <v>88</v>
      </c>
      <c r="E5" s="3">
        <v>284</v>
      </c>
      <c r="G5" s="19"/>
      <c r="H5" s="27" t="s">
        <v>89</v>
      </c>
      <c r="I5" s="24" t="s">
        <v>579</v>
      </c>
      <c r="J5" s="25">
        <v>5</v>
      </c>
      <c r="L5" s="25" t="s">
        <v>578</v>
      </c>
      <c r="M5" s="25" t="s">
        <v>580</v>
      </c>
      <c r="N5" s="25" t="s">
        <v>580</v>
      </c>
      <c r="O5" s="25" t="s">
        <v>580</v>
      </c>
      <c r="P5" s="25" t="s">
        <v>580</v>
      </c>
      <c r="R5" s="25">
        <v>1</v>
      </c>
      <c r="S5" s="5">
        <v>42804.604814814818</v>
      </c>
      <c r="T5" s="8" t="s">
        <v>194</v>
      </c>
      <c r="U5" s="3" t="str">
        <f>IF(S5="","",IF(T5="","",H5))</f>
        <v>FN_100612</v>
      </c>
      <c r="V5" s="5"/>
      <c r="AA5" s="3" t="str">
        <f>IF(V5="","",IF(X5="","",H5))</f>
        <v/>
      </c>
      <c r="AB5" s="6"/>
    </row>
    <row r="6" spans="1:31">
      <c r="A6" s="10">
        <v>1</v>
      </c>
      <c r="B6" t="s">
        <v>90</v>
      </c>
      <c r="C6" s="35">
        <v>42797.47148148148</v>
      </c>
      <c r="D6" s="8" t="s">
        <v>88</v>
      </c>
      <c r="E6" s="3">
        <v>104</v>
      </c>
      <c r="G6" s="19"/>
      <c r="H6" s="27" t="s">
        <v>91</v>
      </c>
      <c r="I6" s="24" t="s">
        <v>579</v>
      </c>
      <c r="J6" s="25">
        <v>5</v>
      </c>
      <c r="L6" s="25" t="s">
        <v>581</v>
      </c>
      <c r="M6" s="25" t="s">
        <v>580</v>
      </c>
      <c r="N6" s="25" t="s">
        <v>580</v>
      </c>
      <c r="O6" s="25" t="s">
        <v>580</v>
      </c>
      <c r="P6" s="25" t="s">
        <v>580</v>
      </c>
      <c r="R6" s="25">
        <v>1</v>
      </c>
      <c r="S6" s="5">
        <v>42804.607847222222</v>
      </c>
      <c r="T6" s="8" t="s">
        <v>194</v>
      </c>
      <c r="U6" s="3" t="str">
        <f t="shared" ref="U6:U69" si="0">IF(S6="","",IF(T6="","",H6))</f>
        <v>FN_101427</v>
      </c>
      <c r="V6" s="5"/>
      <c r="AA6" s="3" t="str">
        <f t="shared" ref="AA6:AA69" si="1">IF(V6="","",IF(X6="","",H6))</f>
        <v/>
      </c>
      <c r="AB6" s="6"/>
    </row>
    <row r="7" spans="1:31">
      <c r="A7" s="10">
        <v>2</v>
      </c>
      <c r="B7" t="s">
        <v>92</v>
      </c>
      <c r="C7" s="35">
        <v>42797.476354166669</v>
      </c>
      <c r="D7" s="8" t="s">
        <v>88</v>
      </c>
      <c r="E7" s="3">
        <v>264</v>
      </c>
      <c r="G7" s="19"/>
      <c r="H7" s="27" t="s">
        <v>93</v>
      </c>
      <c r="I7" s="24" t="s">
        <v>579</v>
      </c>
      <c r="J7" s="25">
        <v>4</v>
      </c>
      <c r="M7" s="25" t="s">
        <v>580</v>
      </c>
      <c r="N7" s="25" t="s">
        <v>580</v>
      </c>
      <c r="O7" s="25" t="s">
        <v>580</v>
      </c>
      <c r="P7" s="25" t="s">
        <v>580</v>
      </c>
      <c r="R7" s="25">
        <v>1</v>
      </c>
      <c r="S7" s="5">
        <v>42804.612349537034</v>
      </c>
      <c r="T7" s="8" t="s">
        <v>194</v>
      </c>
      <c r="U7" s="3" t="str">
        <f t="shared" si="0"/>
        <v>FN_102734</v>
      </c>
      <c r="V7" s="5"/>
      <c r="AA7" s="3" t="str">
        <f t="shared" si="1"/>
        <v/>
      </c>
      <c r="AB7" s="6"/>
    </row>
    <row r="8" spans="1:31">
      <c r="A8" s="10">
        <v>3</v>
      </c>
      <c r="B8" t="s">
        <v>94</v>
      </c>
      <c r="C8" s="35">
        <v>42797.479537037034</v>
      </c>
      <c r="D8" s="8" t="s">
        <v>88</v>
      </c>
      <c r="E8" s="3">
        <v>260</v>
      </c>
      <c r="H8" s="27" t="s">
        <v>95</v>
      </c>
      <c r="I8" s="25" t="s">
        <v>583</v>
      </c>
      <c r="J8" s="58">
        <v>42858</v>
      </c>
      <c r="L8" s="25" t="s">
        <v>582</v>
      </c>
      <c r="M8" s="25" t="s">
        <v>584</v>
      </c>
      <c r="N8" s="25" t="s">
        <v>585</v>
      </c>
      <c r="O8" s="25" t="s">
        <v>585</v>
      </c>
      <c r="P8" s="25" t="s">
        <v>586</v>
      </c>
      <c r="R8" s="25">
        <v>2</v>
      </c>
      <c r="S8" s="5">
        <v>42804.63208333333</v>
      </c>
      <c r="T8" s="8" t="s">
        <v>194</v>
      </c>
      <c r="U8" s="3" t="str">
        <f t="shared" si="0"/>
        <v>FN_102800</v>
      </c>
      <c r="V8" s="5"/>
      <c r="AA8" s="3" t="str">
        <f t="shared" si="1"/>
        <v/>
      </c>
      <c r="AB8" s="6"/>
    </row>
    <row r="9" spans="1:31">
      <c r="A9" s="8">
        <v>3</v>
      </c>
      <c r="B9" t="s">
        <v>96</v>
      </c>
      <c r="C9" s="35">
        <v>42797.482094907406</v>
      </c>
      <c r="D9" s="8" t="s">
        <v>88</v>
      </c>
      <c r="E9" s="9">
        <v>330</v>
      </c>
      <c r="F9" s="9">
        <v>589</v>
      </c>
      <c r="G9" s="9" t="s">
        <v>97</v>
      </c>
      <c r="H9" s="27" t="s">
        <v>98</v>
      </c>
      <c r="I9" s="25" t="s">
        <v>583</v>
      </c>
      <c r="J9" s="58">
        <v>42858</v>
      </c>
      <c r="M9" s="25" t="s">
        <v>585</v>
      </c>
      <c r="N9" s="25" t="s">
        <v>586</v>
      </c>
      <c r="O9" s="25" t="s">
        <v>586</v>
      </c>
      <c r="P9" s="25" t="s">
        <v>586</v>
      </c>
      <c r="R9" s="25">
        <v>2</v>
      </c>
      <c r="S9" s="5">
        <v>42804.6406712963</v>
      </c>
      <c r="T9" s="8" t="s">
        <v>194</v>
      </c>
      <c r="U9" s="3" t="str">
        <f t="shared" si="0"/>
        <v>FN_102838</v>
      </c>
      <c r="V9" s="5"/>
      <c r="AA9" s="3" t="str">
        <f t="shared" si="1"/>
        <v/>
      </c>
    </row>
    <row r="10" spans="1:31" hidden="1">
      <c r="A10" s="8">
        <v>2</v>
      </c>
      <c r="B10" t="s">
        <v>99</v>
      </c>
      <c r="C10" s="35">
        <v>42797.484560185185</v>
      </c>
      <c r="D10" s="8" t="s">
        <v>88</v>
      </c>
      <c r="E10" s="9">
        <v>259</v>
      </c>
      <c r="F10" s="9" t="s">
        <v>513</v>
      </c>
      <c r="G10" s="9" t="s">
        <v>100</v>
      </c>
      <c r="H10" s="27" t="s">
        <v>514</v>
      </c>
      <c r="S10" s="5"/>
      <c r="U10" s="3" t="str">
        <f t="shared" si="0"/>
        <v/>
      </c>
      <c r="V10" s="5"/>
      <c r="AA10" s="3" t="str">
        <f t="shared" si="1"/>
        <v/>
      </c>
      <c r="AB10" s="6"/>
    </row>
    <row r="11" spans="1:31">
      <c r="A11" s="8">
        <v>1</v>
      </c>
      <c r="B11" t="s">
        <v>102</v>
      </c>
      <c r="C11" s="35">
        <v>42797.487037037034</v>
      </c>
      <c r="D11" s="8" t="s">
        <v>88</v>
      </c>
      <c r="E11" s="3">
        <v>287</v>
      </c>
      <c r="F11" s="3">
        <v>1564</v>
      </c>
      <c r="G11" s="3" t="s">
        <v>97</v>
      </c>
      <c r="H11" s="27" t="s">
        <v>103</v>
      </c>
      <c r="I11" s="25" t="s">
        <v>588</v>
      </c>
      <c r="J11" s="25">
        <v>6</v>
      </c>
      <c r="L11" s="25" t="s">
        <v>587</v>
      </c>
      <c r="M11" s="25" t="s">
        <v>580</v>
      </c>
      <c r="N11" s="25" t="s">
        <v>580</v>
      </c>
      <c r="O11" s="25" t="s">
        <v>589</v>
      </c>
      <c r="P11" s="25" t="s">
        <v>580</v>
      </c>
      <c r="R11" s="25">
        <v>1</v>
      </c>
      <c r="S11" s="5">
        <v>42804.653078703705</v>
      </c>
      <c r="T11" s="8" t="s">
        <v>194</v>
      </c>
      <c r="U11" s="3" t="str">
        <f t="shared" si="0"/>
        <v>FN_103335</v>
      </c>
      <c r="V11" s="5"/>
      <c r="AA11" s="3" t="str">
        <f t="shared" si="1"/>
        <v/>
      </c>
    </row>
    <row r="12" spans="1:31" hidden="1">
      <c r="A12" s="8">
        <v>1</v>
      </c>
      <c r="B12" t="s">
        <v>104</v>
      </c>
      <c r="C12" s="35">
        <v>42797.489305555559</v>
      </c>
      <c r="D12" s="8" t="s">
        <v>88</v>
      </c>
      <c r="E12" s="3">
        <v>915</v>
      </c>
      <c r="F12" s="3" t="s">
        <v>513</v>
      </c>
      <c r="G12" s="3" t="s">
        <v>105</v>
      </c>
      <c r="H12" s="27" t="s">
        <v>515</v>
      </c>
      <c r="S12" s="5"/>
      <c r="U12" s="3" t="str">
        <f t="shared" si="0"/>
        <v/>
      </c>
      <c r="AA12" s="3" t="str">
        <f t="shared" si="1"/>
        <v/>
      </c>
    </row>
    <row r="13" spans="1:31" hidden="1">
      <c r="A13" s="8">
        <v>1</v>
      </c>
      <c r="B13" t="s">
        <v>107</v>
      </c>
      <c r="C13" s="35">
        <v>42797.491226851853</v>
      </c>
      <c r="D13" s="8" t="s">
        <v>88</v>
      </c>
      <c r="E13" s="3">
        <v>362</v>
      </c>
      <c r="F13" s="3" t="s">
        <v>513</v>
      </c>
      <c r="G13" s="3" t="s">
        <v>100</v>
      </c>
      <c r="H13" s="27" t="s">
        <v>516</v>
      </c>
      <c r="S13" s="5"/>
      <c r="U13" s="3" t="str">
        <f t="shared" si="0"/>
        <v/>
      </c>
      <c r="AA13" s="3" t="str">
        <f t="shared" si="1"/>
        <v/>
      </c>
    </row>
    <row r="14" spans="1:31" hidden="1">
      <c r="A14" s="8">
        <v>2</v>
      </c>
      <c r="B14" t="s">
        <v>109</v>
      </c>
      <c r="C14" s="35">
        <v>42797.492638888885</v>
      </c>
      <c r="D14" s="8" t="s">
        <v>88</v>
      </c>
      <c r="E14" s="3" t="s">
        <v>110</v>
      </c>
      <c r="H14" s="27"/>
      <c r="S14" s="5"/>
      <c r="U14" s="3" t="str">
        <f t="shared" si="0"/>
        <v/>
      </c>
      <c r="AA14" s="3" t="str">
        <f t="shared" si="1"/>
        <v/>
      </c>
    </row>
    <row r="15" spans="1:31">
      <c r="A15" s="8">
        <v>2</v>
      </c>
      <c r="B15" t="s">
        <v>111</v>
      </c>
      <c r="C15" s="35">
        <v>42797.530763888892</v>
      </c>
      <c r="D15" s="8" t="s">
        <v>88</v>
      </c>
      <c r="E15" s="3">
        <v>231</v>
      </c>
      <c r="H15" s="27" t="s">
        <v>112</v>
      </c>
      <c r="I15" s="25" t="s">
        <v>579</v>
      </c>
      <c r="J15" s="25">
        <v>3</v>
      </c>
      <c r="M15" s="25" t="s">
        <v>589</v>
      </c>
      <c r="N15" s="25" t="s">
        <v>580</v>
      </c>
      <c r="O15" s="25" t="s">
        <v>580</v>
      </c>
      <c r="P15" s="25" t="s">
        <v>580</v>
      </c>
      <c r="R15" s="25">
        <v>1</v>
      </c>
      <c r="S15" s="5">
        <v>42804.658159722225</v>
      </c>
      <c r="T15" s="8" t="s">
        <v>194</v>
      </c>
      <c r="U15" s="3" t="str">
        <f t="shared" si="0"/>
        <v>FN_104110</v>
      </c>
      <c r="AA15" s="3" t="str">
        <f t="shared" si="1"/>
        <v/>
      </c>
    </row>
    <row r="16" spans="1:31">
      <c r="A16" s="8">
        <v>1</v>
      </c>
      <c r="B16" t="s">
        <v>113</v>
      </c>
      <c r="C16" s="35">
        <v>42797.49732638889</v>
      </c>
      <c r="D16" s="8" t="s">
        <v>88</v>
      </c>
      <c r="E16" s="3">
        <v>121</v>
      </c>
      <c r="H16" s="27" t="s">
        <v>114</v>
      </c>
      <c r="I16" s="25" t="s">
        <v>579</v>
      </c>
      <c r="J16" s="25">
        <v>3</v>
      </c>
      <c r="M16" s="25" t="s">
        <v>580</v>
      </c>
      <c r="N16" s="25" t="s">
        <v>580</v>
      </c>
      <c r="O16" s="25" t="s">
        <v>580</v>
      </c>
      <c r="P16" s="25" t="s">
        <v>580</v>
      </c>
      <c r="R16" s="25">
        <v>1</v>
      </c>
      <c r="S16" s="5">
        <v>42804.659780092596</v>
      </c>
      <c r="T16" s="8" t="s">
        <v>194</v>
      </c>
      <c r="U16" s="3" t="str">
        <f t="shared" si="0"/>
        <v>FN_105413</v>
      </c>
      <c r="AA16" s="3" t="str">
        <f t="shared" si="1"/>
        <v/>
      </c>
    </row>
    <row r="17" spans="1:28">
      <c r="A17" s="8">
        <v>1</v>
      </c>
      <c r="B17" t="s">
        <v>115</v>
      </c>
      <c r="C17" s="35">
        <v>42797.53570601852</v>
      </c>
      <c r="D17" s="8" t="s">
        <v>88</v>
      </c>
      <c r="E17" s="3">
        <v>173</v>
      </c>
      <c r="F17" s="3">
        <v>207</v>
      </c>
      <c r="G17" s="3" t="s">
        <v>97</v>
      </c>
      <c r="H17" s="27" t="s">
        <v>116</v>
      </c>
      <c r="I17" s="25" t="s">
        <v>579</v>
      </c>
      <c r="J17" s="25">
        <v>6</v>
      </c>
      <c r="M17" s="25" t="s">
        <v>580</v>
      </c>
      <c r="N17" s="25" t="s">
        <v>580</v>
      </c>
      <c r="O17" s="25" t="s">
        <v>580</v>
      </c>
      <c r="P17" s="25" t="s">
        <v>580</v>
      </c>
      <c r="R17" s="25">
        <v>1</v>
      </c>
      <c r="S17" s="5">
        <v>42804.661157407405</v>
      </c>
      <c r="T17" s="8" t="s">
        <v>194</v>
      </c>
      <c r="U17" s="3" t="str">
        <f t="shared" si="0"/>
        <v>FN_110048</v>
      </c>
      <c r="AA17" s="3" t="str">
        <f t="shared" si="1"/>
        <v/>
      </c>
    </row>
    <row r="18" spans="1:28" hidden="1">
      <c r="A18" s="8">
        <v>1</v>
      </c>
      <c r="B18" t="s">
        <v>117</v>
      </c>
      <c r="C18" s="35">
        <v>42797.537083333336</v>
      </c>
      <c r="D18" s="8" t="s">
        <v>88</v>
      </c>
      <c r="E18" s="3">
        <v>34</v>
      </c>
      <c r="F18" s="3" t="s">
        <v>513</v>
      </c>
      <c r="G18" s="3" t="s">
        <v>100</v>
      </c>
      <c r="H18" s="27" t="s">
        <v>517</v>
      </c>
      <c r="U18" s="3" t="str">
        <f t="shared" si="0"/>
        <v/>
      </c>
      <c r="AA18" s="3" t="str">
        <f t="shared" si="1"/>
        <v/>
      </c>
    </row>
    <row r="19" spans="1:28">
      <c r="A19" s="8">
        <v>1</v>
      </c>
      <c r="B19" t="s">
        <v>119</v>
      </c>
      <c r="C19" s="35">
        <v>42797.539722222224</v>
      </c>
      <c r="D19" s="8" t="s">
        <v>88</v>
      </c>
      <c r="E19" s="3">
        <v>112</v>
      </c>
      <c r="F19" s="3">
        <v>333</v>
      </c>
      <c r="G19" s="3" t="s">
        <v>97</v>
      </c>
      <c r="H19" s="27" t="s">
        <v>120</v>
      </c>
      <c r="I19" s="25" t="s">
        <v>579</v>
      </c>
      <c r="J19" s="25">
        <v>2</v>
      </c>
      <c r="L19" s="25" t="s">
        <v>590</v>
      </c>
      <c r="M19" s="25" t="s">
        <v>580</v>
      </c>
      <c r="N19" s="25" t="s">
        <v>580</v>
      </c>
      <c r="O19" s="25" t="s">
        <v>580</v>
      </c>
      <c r="P19" s="25" t="s">
        <v>580</v>
      </c>
      <c r="R19" s="25">
        <v>1</v>
      </c>
      <c r="S19" s="5">
        <v>42804.665439814817</v>
      </c>
      <c r="T19" s="8" t="s">
        <v>194</v>
      </c>
      <c r="U19" s="3" t="str">
        <f t="shared" si="0"/>
        <v>FN_110253</v>
      </c>
      <c r="AA19" s="3" t="str">
        <f t="shared" si="1"/>
        <v/>
      </c>
    </row>
    <row r="20" spans="1:28" hidden="1">
      <c r="A20" s="8">
        <v>1</v>
      </c>
      <c r="B20" t="s">
        <v>121</v>
      </c>
      <c r="C20" s="35">
        <v>42797.541701388887</v>
      </c>
      <c r="D20" s="8" t="s">
        <v>88</v>
      </c>
      <c r="E20" s="3">
        <v>221</v>
      </c>
      <c r="F20" s="3" t="s">
        <v>513</v>
      </c>
      <c r="G20" s="3" t="s">
        <v>100</v>
      </c>
      <c r="H20" s="27" t="s">
        <v>518</v>
      </c>
      <c r="U20" s="3" t="str">
        <f t="shared" si="0"/>
        <v/>
      </c>
      <c r="AA20" s="3" t="str">
        <f t="shared" si="1"/>
        <v/>
      </c>
    </row>
    <row r="21" spans="1:28">
      <c r="A21" s="8">
        <v>1</v>
      </c>
      <c r="B21" t="s">
        <v>123</v>
      </c>
      <c r="C21" s="35">
        <v>42797.543715277781</v>
      </c>
      <c r="D21" s="8" t="s">
        <v>88</v>
      </c>
      <c r="E21" s="3">
        <v>115</v>
      </c>
      <c r="H21" s="27" t="s">
        <v>124</v>
      </c>
      <c r="I21" s="25" t="s">
        <v>579</v>
      </c>
      <c r="J21" s="25">
        <v>2</v>
      </c>
      <c r="L21" s="25" t="s">
        <v>591</v>
      </c>
      <c r="M21" s="25" t="s">
        <v>580</v>
      </c>
      <c r="N21" s="25" t="s">
        <v>580</v>
      </c>
      <c r="O21" s="25" t="s">
        <v>580</v>
      </c>
      <c r="P21" s="25" t="s">
        <v>580</v>
      </c>
      <c r="R21" s="25">
        <v>1</v>
      </c>
      <c r="S21" s="5">
        <v>42804.666828703703</v>
      </c>
      <c r="T21" s="8" t="s">
        <v>194</v>
      </c>
      <c r="U21" s="3" t="str">
        <f t="shared" si="0"/>
        <v>FN_110751</v>
      </c>
      <c r="V21" s="5"/>
      <c r="AA21" s="3" t="str">
        <f t="shared" si="1"/>
        <v/>
      </c>
      <c r="AB21" s="6"/>
    </row>
    <row r="22" spans="1:28">
      <c r="A22" s="8">
        <v>1</v>
      </c>
      <c r="B22" t="s">
        <v>125</v>
      </c>
      <c r="C22" s="35">
        <v>42797.545937499999</v>
      </c>
      <c r="D22" s="8" t="s">
        <v>88</v>
      </c>
      <c r="E22" s="3">
        <v>308</v>
      </c>
      <c r="H22" s="27" t="s">
        <v>126</v>
      </c>
      <c r="I22" s="25" t="s">
        <v>579</v>
      </c>
      <c r="J22" s="25">
        <v>6</v>
      </c>
      <c r="L22" s="25" t="s">
        <v>592</v>
      </c>
      <c r="M22" s="25" t="s">
        <v>580</v>
      </c>
      <c r="N22" s="25" t="s">
        <v>580</v>
      </c>
      <c r="O22" s="25" t="s">
        <v>580</v>
      </c>
      <c r="P22" s="25" t="s">
        <v>580</v>
      </c>
      <c r="R22" s="25">
        <v>1</v>
      </c>
      <c r="S22" s="5">
        <v>42804.668287037035</v>
      </c>
      <c r="T22" s="8" t="s">
        <v>194</v>
      </c>
      <c r="U22" s="3" t="str">
        <f t="shared" si="0"/>
        <v>FN_111006</v>
      </c>
      <c r="AA22" s="3" t="str">
        <f t="shared" si="1"/>
        <v/>
      </c>
    </row>
    <row r="23" spans="1:28">
      <c r="A23" s="8">
        <v>1</v>
      </c>
      <c r="B23" t="s">
        <v>127</v>
      </c>
      <c r="C23" s="35">
        <v>42797.547847222224</v>
      </c>
      <c r="D23" s="8" t="s">
        <v>88</v>
      </c>
      <c r="E23" s="3">
        <v>112</v>
      </c>
      <c r="H23" s="27" t="s">
        <v>128</v>
      </c>
      <c r="I23" s="25" t="s">
        <v>579</v>
      </c>
      <c r="J23" s="25">
        <v>2</v>
      </c>
      <c r="M23" s="25" t="s">
        <v>580</v>
      </c>
      <c r="N23" s="25" t="s">
        <v>580</v>
      </c>
      <c r="O23" s="25" t="s">
        <v>580</v>
      </c>
      <c r="P23" s="25" t="s">
        <v>580</v>
      </c>
      <c r="R23" s="25">
        <v>1</v>
      </c>
      <c r="S23" s="5">
        <v>42804.669224537036</v>
      </c>
      <c r="T23" s="8" t="s">
        <v>194</v>
      </c>
      <c r="U23" s="3" t="str">
        <f t="shared" si="0"/>
        <v>FN_111114</v>
      </c>
      <c r="AA23" s="3" t="str">
        <f t="shared" si="1"/>
        <v/>
      </c>
    </row>
    <row r="24" spans="1:28">
      <c r="A24" s="8">
        <v>1</v>
      </c>
      <c r="B24" t="s">
        <v>129</v>
      </c>
      <c r="C24" s="35">
        <v>42797.549571759257</v>
      </c>
      <c r="D24" s="8" t="s">
        <v>88</v>
      </c>
      <c r="E24" s="3">
        <v>286</v>
      </c>
      <c r="G24" s="3" t="s">
        <v>100</v>
      </c>
      <c r="H24" s="27" t="s">
        <v>130</v>
      </c>
      <c r="I24" s="25" t="s">
        <v>579</v>
      </c>
      <c r="J24" s="25">
        <v>2</v>
      </c>
      <c r="K24" s="25" t="s">
        <v>593</v>
      </c>
      <c r="M24" s="25" t="s">
        <v>580</v>
      </c>
      <c r="N24" s="25" t="s">
        <v>580</v>
      </c>
      <c r="O24" s="25" t="s">
        <v>580</v>
      </c>
      <c r="P24" s="25" t="s">
        <v>580</v>
      </c>
      <c r="R24" s="25">
        <v>1</v>
      </c>
      <c r="S24" s="5">
        <v>42804.671087962961</v>
      </c>
      <c r="T24" s="8" t="s">
        <v>194</v>
      </c>
      <c r="U24" s="3" t="str">
        <f t="shared" si="0"/>
        <v>FN_112959</v>
      </c>
      <c r="AA24" s="3" t="str">
        <f t="shared" si="1"/>
        <v/>
      </c>
    </row>
    <row r="25" spans="1:28" hidden="1">
      <c r="A25" s="8">
        <v>1</v>
      </c>
      <c r="B25" t="s">
        <v>131</v>
      </c>
      <c r="C25" s="35">
        <v>42797.550486111111</v>
      </c>
      <c r="D25" s="8" t="s">
        <v>88</v>
      </c>
      <c r="E25" s="3" t="s">
        <v>110</v>
      </c>
      <c r="H25" s="27"/>
      <c r="U25" s="3" t="str">
        <f t="shared" si="0"/>
        <v/>
      </c>
      <c r="AA25" s="3" t="str">
        <f t="shared" si="1"/>
        <v/>
      </c>
    </row>
    <row r="26" spans="1:28" hidden="1">
      <c r="A26" s="8">
        <v>1</v>
      </c>
      <c r="B26" t="s">
        <v>132</v>
      </c>
      <c r="C26" s="35">
        <v>42797.550902777781</v>
      </c>
      <c r="D26" s="8" t="s">
        <v>88</v>
      </c>
      <c r="E26" s="3" t="s">
        <v>110</v>
      </c>
      <c r="H26" s="27"/>
      <c r="U26" s="3" t="str">
        <f t="shared" si="0"/>
        <v/>
      </c>
      <c r="AA26" s="3" t="str">
        <f t="shared" si="1"/>
        <v/>
      </c>
    </row>
    <row r="27" spans="1:28">
      <c r="A27" s="8">
        <v>1</v>
      </c>
      <c r="B27" t="s">
        <v>133</v>
      </c>
      <c r="C27" s="35">
        <v>42797.463750000003</v>
      </c>
      <c r="D27" s="8" t="s">
        <v>134</v>
      </c>
      <c r="E27" s="3">
        <v>212</v>
      </c>
      <c r="G27" s="3" t="s">
        <v>100</v>
      </c>
      <c r="H27" s="27" t="s">
        <v>135</v>
      </c>
      <c r="I27" s="25" t="s">
        <v>579</v>
      </c>
      <c r="J27" s="25">
        <v>2</v>
      </c>
      <c r="M27" s="25" t="s">
        <v>580</v>
      </c>
      <c r="N27" s="25" t="s">
        <v>580</v>
      </c>
      <c r="O27" s="25" t="s">
        <v>580</v>
      </c>
      <c r="P27" s="25" t="s">
        <v>580</v>
      </c>
      <c r="R27" s="25">
        <v>1</v>
      </c>
      <c r="S27" s="5">
        <v>42804.672650462962</v>
      </c>
      <c r="T27" s="8" t="s">
        <v>194</v>
      </c>
      <c r="U27" s="3" t="str">
        <f t="shared" si="0"/>
        <v>FN_113559</v>
      </c>
      <c r="AA27" s="3" t="str">
        <f t="shared" si="1"/>
        <v/>
      </c>
    </row>
    <row r="28" spans="1:28">
      <c r="A28" s="8">
        <v>1</v>
      </c>
      <c r="B28" t="s">
        <v>136</v>
      </c>
      <c r="C28" s="35">
        <v>42797.477361111109</v>
      </c>
      <c r="D28" s="8" t="s">
        <v>134</v>
      </c>
      <c r="E28" s="3">
        <v>53</v>
      </c>
      <c r="F28" s="3">
        <v>232</v>
      </c>
      <c r="G28" s="3" t="s">
        <v>97</v>
      </c>
      <c r="H28" s="27" t="s">
        <v>137</v>
      </c>
      <c r="I28" s="25" t="s">
        <v>579</v>
      </c>
      <c r="J28" s="25">
        <v>5</v>
      </c>
      <c r="M28" s="25" t="s">
        <v>580</v>
      </c>
      <c r="N28" s="25" t="s">
        <v>580</v>
      </c>
      <c r="O28" s="25" t="s">
        <v>580</v>
      </c>
      <c r="P28" s="25" t="s">
        <v>580</v>
      </c>
      <c r="R28" s="25">
        <v>1</v>
      </c>
      <c r="S28" s="5">
        <v>42804.675798611112</v>
      </c>
      <c r="T28" s="8" t="s">
        <v>194</v>
      </c>
      <c r="U28" s="3" t="str">
        <f t="shared" si="0"/>
        <v>FN_113756</v>
      </c>
      <c r="AA28" s="3" t="str">
        <f t="shared" si="1"/>
        <v/>
      </c>
    </row>
    <row r="29" spans="1:28" hidden="1">
      <c r="A29" s="8">
        <v>1</v>
      </c>
      <c r="B29" t="s">
        <v>138</v>
      </c>
      <c r="C29" s="35">
        <v>42797.481111111112</v>
      </c>
      <c r="D29" s="8" t="s">
        <v>134</v>
      </c>
      <c r="E29" s="3">
        <v>179</v>
      </c>
      <c r="F29" s="3" t="s">
        <v>513</v>
      </c>
      <c r="G29" s="3" t="s">
        <v>100</v>
      </c>
      <c r="H29" s="27" t="s">
        <v>519</v>
      </c>
      <c r="U29" s="3" t="str">
        <f t="shared" si="0"/>
        <v/>
      </c>
      <c r="AA29" s="3" t="str">
        <f t="shared" si="1"/>
        <v/>
      </c>
    </row>
    <row r="30" spans="1:28" hidden="1">
      <c r="A30" s="8">
        <v>1</v>
      </c>
      <c r="B30" t="s">
        <v>140</v>
      </c>
      <c r="C30" s="35">
        <v>42797.484293981484</v>
      </c>
      <c r="D30" s="8" t="s">
        <v>134</v>
      </c>
      <c r="E30" s="3" t="s">
        <v>110</v>
      </c>
      <c r="H30" s="27"/>
      <c r="U30" s="3" t="str">
        <f t="shared" si="0"/>
        <v/>
      </c>
      <c r="AA30" s="3" t="str">
        <f t="shared" si="1"/>
        <v/>
      </c>
    </row>
    <row r="31" spans="1:28" hidden="1">
      <c r="A31" s="8">
        <v>1</v>
      </c>
      <c r="B31" t="s">
        <v>141</v>
      </c>
      <c r="C31" s="35">
        <v>42797.485543981478</v>
      </c>
      <c r="D31" s="8" t="s">
        <v>134</v>
      </c>
      <c r="E31" s="3" t="s">
        <v>110</v>
      </c>
      <c r="H31" s="27"/>
      <c r="U31" s="3" t="str">
        <f t="shared" si="0"/>
        <v/>
      </c>
      <c r="AA31" s="3" t="str">
        <f t="shared" si="1"/>
        <v/>
      </c>
    </row>
    <row r="32" spans="1:28">
      <c r="A32" s="8">
        <v>1</v>
      </c>
      <c r="B32" t="s">
        <v>142</v>
      </c>
      <c r="C32" s="35">
        <v>42797.491319444445</v>
      </c>
      <c r="D32" s="8" t="s">
        <v>134</v>
      </c>
      <c r="E32" s="3">
        <v>207</v>
      </c>
      <c r="F32" s="3">
        <v>372</v>
      </c>
      <c r="G32" s="3" t="s">
        <v>97</v>
      </c>
      <c r="H32" s="27" t="s">
        <v>143</v>
      </c>
      <c r="I32" s="25" t="s">
        <v>583</v>
      </c>
      <c r="J32" s="58">
        <v>42797</v>
      </c>
      <c r="L32" s="25" t="s">
        <v>594</v>
      </c>
      <c r="M32" s="25" t="s">
        <v>585</v>
      </c>
      <c r="N32" s="25" t="s">
        <v>585</v>
      </c>
      <c r="O32" s="25" t="s">
        <v>585</v>
      </c>
      <c r="P32" s="25" t="s">
        <v>585</v>
      </c>
      <c r="R32" s="25">
        <v>2</v>
      </c>
      <c r="S32" s="5">
        <v>42804.681585648148</v>
      </c>
      <c r="T32" s="8" t="s">
        <v>194</v>
      </c>
      <c r="U32" s="3" t="str">
        <f t="shared" si="0"/>
        <v>FN_114716</v>
      </c>
      <c r="AA32" s="3" t="str">
        <f t="shared" si="1"/>
        <v/>
      </c>
    </row>
    <row r="33" spans="1:27" hidden="1">
      <c r="A33" s="8">
        <v>1</v>
      </c>
      <c r="B33" t="s">
        <v>144</v>
      </c>
      <c r="C33" s="35">
        <v>42797.494710648149</v>
      </c>
      <c r="D33" s="8" t="s">
        <v>134</v>
      </c>
      <c r="E33" s="3">
        <v>165</v>
      </c>
      <c r="F33" s="3" t="s">
        <v>513</v>
      </c>
      <c r="G33" s="3" t="s">
        <v>100</v>
      </c>
      <c r="H33" s="27" t="s">
        <v>520</v>
      </c>
      <c r="U33" s="3" t="str">
        <f t="shared" si="0"/>
        <v/>
      </c>
      <c r="AA33" s="3" t="str">
        <f t="shared" si="1"/>
        <v/>
      </c>
    </row>
    <row r="34" spans="1:27">
      <c r="A34" s="8">
        <v>1</v>
      </c>
      <c r="B34" t="s">
        <v>146</v>
      </c>
      <c r="C34" s="35">
        <v>42797.50068287037</v>
      </c>
      <c r="D34" s="8" t="s">
        <v>134</v>
      </c>
      <c r="E34" s="3">
        <v>380</v>
      </c>
      <c r="F34" s="3">
        <v>4018</v>
      </c>
      <c r="G34" s="3" t="s">
        <v>97</v>
      </c>
      <c r="H34" s="27" t="s">
        <v>147</v>
      </c>
      <c r="I34" s="25" t="s">
        <v>579</v>
      </c>
      <c r="J34" s="25">
        <v>2</v>
      </c>
      <c r="M34" s="25" t="s">
        <v>580</v>
      </c>
      <c r="N34" s="25" t="s">
        <v>580</v>
      </c>
      <c r="O34" s="25" t="s">
        <v>589</v>
      </c>
      <c r="P34" s="25" t="s">
        <v>580</v>
      </c>
      <c r="R34" s="25">
        <v>1</v>
      </c>
      <c r="S34" s="5">
        <v>42804.682766203703</v>
      </c>
      <c r="T34" s="8" t="s">
        <v>194</v>
      </c>
      <c r="U34" s="3" t="str">
        <f t="shared" si="0"/>
        <v>FN_115722</v>
      </c>
      <c r="AA34" s="3" t="str">
        <f t="shared" si="1"/>
        <v/>
      </c>
    </row>
    <row r="35" spans="1:27" hidden="1">
      <c r="A35" s="8">
        <v>1</v>
      </c>
      <c r="B35" t="s">
        <v>148</v>
      </c>
      <c r="C35" s="35">
        <v>42797.532812500001</v>
      </c>
      <c r="D35" s="8" t="s">
        <v>134</v>
      </c>
      <c r="E35" s="3">
        <v>861</v>
      </c>
      <c r="F35" s="3" t="s">
        <v>513</v>
      </c>
      <c r="G35" s="3" t="s">
        <v>105</v>
      </c>
      <c r="H35" s="27" t="s">
        <v>521</v>
      </c>
      <c r="U35" s="3" t="str">
        <f t="shared" si="0"/>
        <v/>
      </c>
      <c r="AA35" s="3" t="str">
        <f t="shared" si="1"/>
        <v/>
      </c>
    </row>
    <row r="36" spans="1:27" hidden="1">
      <c r="A36" s="8">
        <v>1</v>
      </c>
      <c r="B36" t="s">
        <v>150</v>
      </c>
      <c r="C36" s="35">
        <v>42797.535196759258</v>
      </c>
      <c r="D36" s="8" t="s">
        <v>134</v>
      </c>
      <c r="E36" s="3">
        <v>915</v>
      </c>
      <c r="F36" s="3" t="s">
        <v>513</v>
      </c>
      <c r="G36" s="3" t="s">
        <v>105</v>
      </c>
      <c r="H36" s="27" t="s">
        <v>522</v>
      </c>
      <c r="U36" s="3" t="str">
        <f t="shared" si="0"/>
        <v/>
      </c>
      <c r="AA36" s="3" t="str">
        <f t="shared" si="1"/>
        <v/>
      </c>
    </row>
    <row r="37" spans="1:27" hidden="1">
      <c r="A37" s="8">
        <v>1</v>
      </c>
      <c r="B37" t="s">
        <v>152</v>
      </c>
      <c r="C37" s="35">
        <v>42797.539178240739</v>
      </c>
      <c r="D37" s="8" t="s">
        <v>134</v>
      </c>
      <c r="E37" s="3">
        <v>296</v>
      </c>
      <c r="F37" s="3" t="s">
        <v>513</v>
      </c>
      <c r="G37" s="3" t="s">
        <v>105</v>
      </c>
      <c r="H37" s="27" t="s">
        <v>523</v>
      </c>
      <c r="U37" s="3" t="str">
        <f t="shared" si="0"/>
        <v/>
      </c>
      <c r="AA37" s="3" t="str">
        <f t="shared" si="1"/>
        <v/>
      </c>
    </row>
    <row r="38" spans="1:27" hidden="1">
      <c r="A38" s="8">
        <v>1</v>
      </c>
      <c r="B38" t="s">
        <v>154</v>
      </c>
      <c r="C38" s="35">
        <v>42797.541238425925</v>
      </c>
      <c r="D38" s="8" t="s">
        <v>134</v>
      </c>
      <c r="E38" s="3">
        <v>795</v>
      </c>
      <c r="F38" s="3" t="s">
        <v>513</v>
      </c>
      <c r="G38" s="3" t="s">
        <v>105</v>
      </c>
      <c r="H38" s="27" t="s">
        <v>524</v>
      </c>
      <c r="U38" s="3" t="str">
        <f t="shared" si="0"/>
        <v/>
      </c>
      <c r="AA38" s="3" t="str">
        <f t="shared" si="1"/>
        <v/>
      </c>
    </row>
    <row r="39" spans="1:27" hidden="1">
      <c r="A39" s="8">
        <v>1</v>
      </c>
      <c r="B39" t="s">
        <v>156</v>
      </c>
      <c r="C39" s="35">
        <v>42797.544618055559</v>
      </c>
      <c r="D39" s="8" t="s">
        <v>134</v>
      </c>
      <c r="E39" s="3">
        <v>771</v>
      </c>
      <c r="F39" s="3" t="s">
        <v>513</v>
      </c>
      <c r="G39" s="3" t="s">
        <v>105</v>
      </c>
      <c r="H39" s="27" t="s">
        <v>525</v>
      </c>
      <c r="U39" s="3" t="str">
        <f t="shared" si="0"/>
        <v/>
      </c>
      <c r="AA39" s="3" t="str">
        <f t="shared" si="1"/>
        <v/>
      </c>
    </row>
    <row r="40" spans="1:27" hidden="1">
      <c r="A40" s="8">
        <v>1</v>
      </c>
      <c r="B40" t="s">
        <v>158</v>
      </c>
      <c r="C40" s="35">
        <v>42797.545856481483</v>
      </c>
      <c r="D40" s="8" t="s">
        <v>134</v>
      </c>
      <c r="E40" s="3" t="s">
        <v>110</v>
      </c>
      <c r="H40" s="27"/>
      <c r="U40" s="3" t="str">
        <f t="shared" si="0"/>
        <v/>
      </c>
      <c r="AA40" s="3" t="str">
        <f t="shared" si="1"/>
        <v/>
      </c>
    </row>
    <row r="41" spans="1:27">
      <c r="A41" s="8">
        <v>1</v>
      </c>
      <c r="B41" t="s">
        <v>159</v>
      </c>
      <c r="C41" s="35">
        <v>42797.549560185187</v>
      </c>
      <c r="D41" s="8" t="s">
        <v>134</v>
      </c>
      <c r="E41" s="3">
        <v>34</v>
      </c>
      <c r="H41" s="27" t="s">
        <v>160</v>
      </c>
      <c r="S41" s="5" t="s">
        <v>572</v>
      </c>
      <c r="U41" s="3" t="str">
        <f t="shared" si="0"/>
        <v/>
      </c>
      <c r="AA41" s="3" t="str">
        <f t="shared" si="1"/>
        <v/>
      </c>
    </row>
    <row r="42" spans="1:27">
      <c r="A42" s="8">
        <v>1</v>
      </c>
      <c r="B42" t="s">
        <v>161</v>
      </c>
      <c r="C42" s="35">
        <v>42797.46292824074</v>
      </c>
      <c r="D42" s="8" t="s">
        <v>162</v>
      </c>
      <c r="E42" s="3">
        <v>521</v>
      </c>
      <c r="H42" s="27" t="s">
        <v>163</v>
      </c>
      <c r="S42" s="5" t="s">
        <v>572</v>
      </c>
      <c r="U42" s="3" t="str">
        <f t="shared" si="0"/>
        <v/>
      </c>
      <c r="AA42" s="3" t="str">
        <f t="shared" si="1"/>
        <v/>
      </c>
    </row>
    <row r="43" spans="1:27">
      <c r="A43" s="8">
        <v>1</v>
      </c>
      <c r="B43" t="s">
        <v>164</v>
      </c>
      <c r="C43" s="35">
        <v>42797.464791666665</v>
      </c>
      <c r="D43" s="8" t="s">
        <v>162</v>
      </c>
      <c r="E43" s="3">
        <v>440</v>
      </c>
      <c r="F43" s="3">
        <v>1325</v>
      </c>
      <c r="G43" s="3" t="s">
        <v>97</v>
      </c>
      <c r="H43" s="27" t="s">
        <v>165</v>
      </c>
      <c r="S43" s="5" t="s">
        <v>572</v>
      </c>
      <c r="U43" s="3" t="str">
        <f t="shared" si="0"/>
        <v/>
      </c>
      <c r="AA43" s="3" t="str">
        <f t="shared" si="1"/>
        <v/>
      </c>
    </row>
    <row r="44" spans="1:27" hidden="1">
      <c r="A44" s="8">
        <v>2</v>
      </c>
      <c r="B44" t="s">
        <v>166</v>
      </c>
      <c r="C44" s="35">
        <v>42797.466874999998</v>
      </c>
      <c r="D44" s="8" t="s">
        <v>162</v>
      </c>
      <c r="E44" s="3">
        <v>885</v>
      </c>
      <c r="F44" s="3" t="s">
        <v>513</v>
      </c>
      <c r="G44" s="3" t="s">
        <v>105</v>
      </c>
      <c r="H44" s="27" t="s">
        <v>526</v>
      </c>
      <c r="U44" s="3" t="str">
        <f t="shared" si="0"/>
        <v/>
      </c>
      <c r="AA44" s="3" t="str">
        <f t="shared" si="1"/>
        <v/>
      </c>
    </row>
    <row r="45" spans="1:27">
      <c r="A45" s="8">
        <v>2</v>
      </c>
      <c r="B45" t="s">
        <v>168</v>
      </c>
      <c r="C45" s="35">
        <v>42797.47210648148</v>
      </c>
      <c r="D45" s="8" t="s">
        <v>162</v>
      </c>
      <c r="E45" s="3">
        <v>248</v>
      </c>
      <c r="H45" s="27" t="s">
        <v>169</v>
      </c>
      <c r="S45" s="5" t="s">
        <v>572</v>
      </c>
      <c r="U45" s="3" t="str">
        <f t="shared" si="0"/>
        <v/>
      </c>
      <c r="AA45" s="3" t="str">
        <f t="shared" si="1"/>
        <v/>
      </c>
    </row>
    <row r="46" spans="1:27">
      <c r="A46" s="8">
        <v>1</v>
      </c>
      <c r="B46" t="s">
        <v>170</v>
      </c>
      <c r="C46" s="35">
        <v>42797.473946759259</v>
      </c>
      <c r="D46" s="8" t="s">
        <v>162</v>
      </c>
      <c r="E46" s="3">
        <v>690</v>
      </c>
      <c r="G46" s="3" t="s">
        <v>100</v>
      </c>
      <c r="H46" s="27" t="s">
        <v>171</v>
      </c>
      <c r="S46" s="5" t="s">
        <v>572</v>
      </c>
      <c r="U46" s="3" t="str">
        <f t="shared" si="0"/>
        <v/>
      </c>
      <c r="AA46" s="3" t="str">
        <f t="shared" si="1"/>
        <v/>
      </c>
    </row>
    <row r="47" spans="1:27">
      <c r="A47" s="8">
        <v>1</v>
      </c>
      <c r="B47" t="s">
        <v>172</v>
      </c>
      <c r="C47" s="35">
        <v>42797.476168981484</v>
      </c>
      <c r="D47" s="8" t="s">
        <v>162</v>
      </c>
      <c r="E47" s="3">
        <v>596</v>
      </c>
      <c r="H47" s="27" t="s">
        <v>173</v>
      </c>
      <c r="S47" s="5" t="s">
        <v>572</v>
      </c>
      <c r="U47" s="3" t="str">
        <f t="shared" si="0"/>
        <v/>
      </c>
      <c r="AA47" s="3" t="str">
        <f t="shared" si="1"/>
        <v/>
      </c>
    </row>
    <row r="48" spans="1:27">
      <c r="A48" s="8">
        <v>1</v>
      </c>
      <c r="B48" t="s">
        <v>174</v>
      </c>
      <c r="C48" s="35">
        <v>42797.482233796298</v>
      </c>
      <c r="D48" s="8" t="s">
        <v>162</v>
      </c>
      <c r="E48" s="3">
        <v>569</v>
      </c>
      <c r="F48" s="3">
        <v>1514</v>
      </c>
      <c r="G48" s="3" t="s">
        <v>97</v>
      </c>
      <c r="H48" s="27" t="s">
        <v>175</v>
      </c>
      <c r="S48" s="5" t="s">
        <v>572</v>
      </c>
      <c r="U48" s="3" t="str">
        <f t="shared" si="0"/>
        <v/>
      </c>
      <c r="AA48" s="3" t="str">
        <f t="shared" si="1"/>
        <v/>
      </c>
    </row>
    <row r="49" spans="1:27" hidden="1">
      <c r="A49" s="8">
        <v>1</v>
      </c>
      <c r="B49" t="s">
        <v>176</v>
      </c>
      <c r="C49" s="35">
        <v>42797.484236111108</v>
      </c>
      <c r="D49" s="8" t="s">
        <v>162</v>
      </c>
      <c r="E49" s="3">
        <v>675</v>
      </c>
      <c r="F49" s="3" t="s">
        <v>513</v>
      </c>
      <c r="G49" s="3" t="s">
        <v>105</v>
      </c>
      <c r="H49" s="27" t="s">
        <v>527</v>
      </c>
      <c r="U49" s="3" t="str">
        <f t="shared" si="0"/>
        <v/>
      </c>
      <c r="AA49" s="3" t="str">
        <f t="shared" si="1"/>
        <v/>
      </c>
    </row>
    <row r="50" spans="1:27" hidden="1">
      <c r="A50" s="8">
        <v>2</v>
      </c>
      <c r="B50" t="s">
        <v>178</v>
      </c>
      <c r="C50" s="35">
        <v>42797.490381944444</v>
      </c>
      <c r="D50" s="8" t="s">
        <v>162</v>
      </c>
      <c r="E50" s="3">
        <v>270</v>
      </c>
      <c r="F50" s="3" t="s">
        <v>513</v>
      </c>
      <c r="G50" s="3" t="s">
        <v>100</v>
      </c>
      <c r="H50" s="27" t="s">
        <v>528</v>
      </c>
      <c r="U50" s="3" t="str">
        <f t="shared" si="0"/>
        <v/>
      </c>
      <c r="AA50" s="3" t="str">
        <f t="shared" si="1"/>
        <v/>
      </c>
    </row>
    <row r="51" spans="1:27" hidden="1">
      <c r="A51" s="8">
        <v>2</v>
      </c>
      <c r="B51" t="s">
        <v>180</v>
      </c>
      <c r="C51" s="35">
        <v>42797.494247685187</v>
      </c>
      <c r="D51" s="8" t="s">
        <v>162</v>
      </c>
      <c r="E51" s="3" t="s">
        <v>110</v>
      </c>
      <c r="H51" s="27"/>
      <c r="U51" s="3" t="str">
        <f t="shared" si="0"/>
        <v/>
      </c>
      <c r="AA51" s="3" t="str">
        <f t="shared" si="1"/>
        <v/>
      </c>
    </row>
    <row r="52" spans="1:27" hidden="1">
      <c r="A52" s="8">
        <v>1</v>
      </c>
      <c r="B52" t="s">
        <v>181</v>
      </c>
      <c r="C52" s="35">
        <v>42797.495104166665</v>
      </c>
      <c r="D52" s="8" t="s">
        <v>162</v>
      </c>
      <c r="E52" s="3" t="s">
        <v>110</v>
      </c>
      <c r="H52" s="27"/>
      <c r="U52" s="3" t="str">
        <f t="shared" si="0"/>
        <v/>
      </c>
      <c r="AA52" s="3" t="str">
        <f t="shared" si="1"/>
        <v/>
      </c>
    </row>
    <row r="53" spans="1:27" hidden="1">
      <c r="A53" s="8">
        <v>1</v>
      </c>
      <c r="B53" t="s">
        <v>182</v>
      </c>
      <c r="C53" s="35">
        <v>42797.496840277781</v>
      </c>
      <c r="D53" s="8" t="s">
        <v>162</v>
      </c>
      <c r="E53" s="3" t="s">
        <v>110</v>
      </c>
      <c r="H53" s="27"/>
      <c r="U53" s="3" t="str">
        <f t="shared" si="0"/>
        <v/>
      </c>
      <c r="AA53" s="3" t="str">
        <f t="shared" si="1"/>
        <v/>
      </c>
    </row>
    <row r="54" spans="1:27">
      <c r="A54" s="8">
        <v>1</v>
      </c>
      <c r="B54" t="s">
        <v>183</v>
      </c>
      <c r="C54" s="35">
        <v>42797.498749999999</v>
      </c>
      <c r="D54" s="8" t="s">
        <v>162</v>
      </c>
      <c r="E54" s="3">
        <v>646</v>
      </c>
      <c r="F54" s="3">
        <v>1186</v>
      </c>
      <c r="G54" s="3" t="s">
        <v>97</v>
      </c>
      <c r="H54" s="27" t="s">
        <v>184</v>
      </c>
      <c r="S54" s="5" t="s">
        <v>572</v>
      </c>
      <c r="U54" s="3" t="str">
        <f t="shared" si="0"/>
        <v/>
      </c>
      <c r="AA54" s="3" t="str">
        <f t="shared" si="1"/>
        <v/>
      </c>
    </row>
    <row r="55" spans="1:27" hidden="1">
      <c r="A55" s="8">
        <v>1</v>
      </c>
      <c r="B55" t="s">
        <v>185</v>
      </c>
      <c r="C55" s="35">
        <v>42797.504328703704</v>
      </c>
      <c r="D55" s="8" t="s">
        <v>162</v>
      </c>
      <c r="E55" s="3">
        <v>540</v>
      </c>
      <c r="F55" s="3" t="s">
        <v>513</v>
      </c>
      <c r="G55" s="3" t="s">
        <v>100</v>
      </c>
      <c r="H55" s="27" t="s">
        <v>529</v>
      </c>
      <c r="U55" s="3" t="str">
        <f t="shared" si="0"/>
        <v/>
      </c>
      <c r="AA55" s="3" t="str">
        <f t="shared" si="1"/>
        <v/>
      </c>
    </row>
    <row r="56" spans="1:27">
      <c r="A56" s="8">
        <v>1</v>
      </c>
      <c r="B56" t="s">
        <v>187</v>
      </c>
      <c r="C56" s="35">
        <v>42797.531400462962</v>
      </c>
      <c r="D56" s="8" t="s">
        <v>162</v>
      </c>
      <c r="E56" s="3">
        <v>137</v>
      </c>
      <c r="H56" s="27" t="s">
        <v>188</v>
      </c>
      <c r="S56" s="5" t="s">
        <v>572</v>
      </c>
      <c r="U56" s="3" t="str">
        <f t="shared" si="0"/>
        <v/>
      </c>
      <c r="AA56" s="3" t="str">
        <f t="shared" si="1"/>
        <v/>
      </c>
    </row>
    <row r="57" spans="1:27">
      <c r="A57" s="8">
        <v>1</v>
      </c>
      <c r="B57" t="s">
        <v>189</v>
      </c>
      <c r="C57" s="35">
        <v>42797.53365740741</v>
      </c>
      <c r="D57" s="8" t="s">
        <v>162</v>
      </c>
      <c r="E57" s="3">
        <v>384</v>
      </c>
      <c r="G57" s="3" t="s">
        <v>100</v>
      </c>
      <c r="H57" s="27" t="s">
        <v>190</v>
      </c>
      <c r="S57" s="5" t="s">
        <v>573</v>
      </c>
      <c r="U57" s="3" t="str">
        <f t="shared" si="0"/>
        <v/>
      </c>
      <c r="AA57" s="3" t="str">
        <f t="shared" si="1"/>
        <v/>
      </c>
    </row>
    <row r="58" spans="1:27">
      <c r="A58" s="8">
        <v>1</v>
      </c>
      <c r="B58" t="s">
        <v>191</v>
      </c>
      <c r="C58" s="35">
        <v>42797.53565972222</v>
      </c>
      <c r="D58" s="8" t="s">
        <v>162</v>
      </c>
      <c r="E58" s="3">
        <v>497</v>
      </c>
      <c r="H58" s="27" t="s">
        <v>192</v>
      </c>
      <c r="S58" s="5" t="s">
        <v>573</v>
      </c>
      <c r="U58" s="3" t="str">
        <f t="shared" si="0"/>
        <v/>
      </c>
      <c r="AA58" s="3" t="str">
        <f t="shared" si="1"/>
        <v/>
      </c>
    </row>
    <row r="59" spans="1:27">
      <c r="A59" s="8">
        <v>1</v>
      </c>
      <c r="B59" t="s">
        <v>193</v>
      </c>
      <c r="C59" s="35">
        <v>42797.462083333332</v>
      </c>
      <c r="D59" s="8" t="s">
        <v>194</v>
      </c>
      <c r="E59" s="3">
        <v>186</v>
      </c>
      <c r="H59" s="27" t="s">
        <v>195</v>
      </c>
      <c r="S59" s="5" t="s">
        <v>573</v>
      </c>
      <c r="U59" s="3" t="str">
        <f t="shared" si="0"/>
        <v/>
      </c>
      <c r="AA59" s="3" t="str">
        <f t="shared" si="1"/>
        <v/>
      </c>
    </row>
    <row r="60" spans="1:27">
      <c r="A60" s="8">
        <v>1</v>
      </c>
      <c r="B60" t="s">
        <v>196</v>
      </c>
      <c r="C60" s="35">
        <v>42797.46533564815</v>
      </c>
      <c r="D60" s="8" t="s">
        <v>194</v>
      </c>
      <c r="E60" s="3">
        <v>133</v>
      </c>
      <c r="H60" s="27" t="s">
        <v>197</v>
      </c>
      <c r="S60" s="5" t="s">
        <v>573</v>
      </c>
      <c r="U60" s="3" t="str">
        <f t="shared" si="0"/>
        <v/>
      </c>
      <c r="AA60" s="3" t="str">
        <f t="shared" si="1"/>
        <v/>
      </c>
    </row>
    <row r="61" spans="1:27">
      <c r="A61" s="8">
        <v>1</v>
      </c>
      <c r="B61" t="s">
        <v>198</v>
      </c>
      <c r="C61" s="35">
        <v>42797.467581018522</v>
      </c>
      <c r="D61" s="8" t="s">
        <v>194</v>
      </c>
      <c r="E61" s="3">
        <v>59</v>
      </c>
      <c r="H61" s="27" t="s">
        <v>199</v>
      </c>
      <c r="S61" s="5" t="s">
        <v>573</v>
      </c>
      <c r="U61" s="3" t="str">
        <f t="shared" si="0"/>
        <v/>
      </c>
      <c r="AA61" s="3" t="str">
        <f t="shared" si="1"/>
        <v/>
      </c>
    </row>
    <row r="62" spans="1:27">
      <c r="A62" s="8">
        <v>1</v>
      </c>
      <c r="B62" t="s">
        <v>200</v>
      </c>
      <c r="C62" s="35">
        <v>42797.470555555556</v>
      </c>
      <c r="D62" s="8" t="s">
        <v>194</v>
      </c>
      <c r="E62" s="3">
        <v>151</v>
      </c>
      <c r="F62" s="3">
        <v>479</v>
      </c>
      <c r="G62" s="3" t="s">
        <v>97</v>
      </c>
      <c r="H62" s="27" t="s">
        <v>201</v>
      </c>
      <c r="S62" s="5" t="s">
        <v>573</v>
      </c>
      <c r="U62" s="3" t="str">
        <f t="shared" si="0"/>
        <v/>
      </c>
      <c r="AA62" s="3" t="str">
        <f t="shared" si="1"/>
        <v/>
      </c>
    </row>
    <row r="63" spans="1:27" hidden="1">
      <c r="A63" s="8">
        <v>1</v>
      </c>
      <c r="B63" t="s">
        <v>202</v>
      </c>
      <c r="C63" s="35">
        <v>42797.476168981484</v>
      </c>
      <c r="D63" s="8" t="s">
        <v>194</v>
      </c>
      <c r="E63" s="3">
        <v>328</v>
      </c>
      <c r="F63" s="3" t="s">
        <v>513</v>
      </c>
      <c r="G63" s="3" t="s">
        <v>100</v>
      </c>
      <c r="H63" s="27" t="s">
        <v>530</v>
      </c>
      <c r="U63" s="3" t="str">
        <f t="shared" si="0"/>
        <v/>
      </c>
      <c r="AA63" s="3" t="str">
        <f t="shared" si="1"/>
        <v/>
      </c>
    </row>
    <row r="64" spans="1:27">
      <c r="A64" s="8">
        <v>2</v>
      </c>
      <c r="B64" t="s">
        <v>204</v>
      </c>
      <c r="C64" s="35">
        <v>42797.479050925926</v>
      </c>
      <c r="D64" s="8" t="s">
        <v>194</v>
      </c>
      <c r="E64" s="3">
        <v>413</v>
      </c>
      <c r="F64" s="3">
        <v>805</v>
      </c>
      <c r="G64" s="3" t="s">
        <v>97</v>
      </c>
      <c r="H64" s="27" t="s">
        <v>205</v>
      </c>
      <c r="S64" s="5" t="s">
        <v>573</v>
      </c>
      <c r="U64" s="3" t="str">
        <f t="shared" si="0"/>
        <v/>
      </c>
      <c r="AA64" s="3" t="str">
        <f t="shared" si="1"/>
        <v/>
      </c>
    </row>
    <row r="65" spans="1:27" hidden="1">
      <c r="A65" s="8">
        <v>2</v>
      </c>
      <c r="B65" t="s">
        <v>206</v>
      </c>
      <c r="C65" s="35">
        <v>42797.482314814813</v>
      </c>
      <c r="D65" s="8" t="s">
        <v>194</v>
      </c>
      <c r="E65" s="3">
        <v>33</v>
      </c>
      <c r="F65" s="3" t="s">
        <v>513</v>
      </c>
      <c r="G65" s="3" t="s">
        <v>105</v>
      </c>
      <c r="H65" s="27" t="s">
        <v>531</v>
      </c>
      <c r="U65" s="3" t="str">
        <f t="shared" si="0"/>
        <v/>
      </c>
      <c r="AA65" s="3" t="str">
        <f t="shared" si="1"/>
        <v/>
      </c>
    </row>
    <row r="66" spans="1:27" hidden="1">
      <c r="A66" s="8">
        <v>3</v>
      </c>
      <c r="B66" t="s">
        <v>208</v>
      </c>
      <c r="C66" s="35">
        <v>42797.488518518519</v>
      </c>
      <c r="D66" s="8" t="s">
        <v>194</v>
      </c>
      <c r="E66" s="3">
        <v>359</v>
      </c>
      <c r="F66" s="3" t="s">
        <v>513</v>
      </c>
      <c r="G66" s="3" t="s">
        <v>100</v>
      </c>
      <c r="H66" s="27" t="s">
        <v>532</v>
      </c>
      <c r="U66" s="3" t="str">
        <f t="shared" si="0"/>
        <v/>
      </c>
      <c r="AA66" s="3" t="str">
        <f t="shared" si="1"/>
        <v/>
      </c>
    </row>
    <row r="67" spans="1:27">
      <c r="A67" s="8">
        <v>1</v>
      </c>
      <c r="B67" t="s">
        <v>210</v>
      </c>
      <c r="C67" s="35">
        <v>42797.492847222224</v>
      </c>
      <c r="D67" s="8" t="s">
        <v>194</v>
      </c>
      <c r="E67" s="3">
        <v>442</v>
      </c>
      <c r="G67" s="3" t="s">
        <v>97</v>
      </c>
      <c r="H67" s="27" t="s">
        <v>211</v>
      </c>
      <c r="S67" s="5" t="s">
        <v>573</v>
      </c>
      <c r="U67" s="3" t="str">
        <f t="shared" si="0"/>
        <v/>
      </c>
      <c r="AA67" s="3" t="str">
        <f t="shared" si="1"/>
        <v/>
      </c>
    </row>
    <row r="68" spans="1:27">
      <c r="A68" s="8">
        <v>1</v>
      </c>
      <c r="B68" t="s">
        <v>212</v>
      </c>
      <c r="C68" s="35">
        <v>42797.498391203706</v>
      </c>
      <c r="D68" s="8" t="s">
        <v>194</v>
      </c>
      <c r="E68" s="3">
        <v>259</v>
      </c>
      <c r="H68" s="27" t="s">
        <v>213</v>
      </c>
      <c r="S68" s="5" t="s">
        <v>573</v>
      </c>
      <c r="U68" s="3" t="str">
        <f t="shared" si="0"/>
        <v/>
      </c>
      <c r="AA68" s="3" t="str">
        <f t="shared" si="1"/>
        <v/>
      </c>
    </row>
    <row r="69" spans="1:27">
      <c r="A69" s="8">
        <v>1</v>
      </c>
      <c r="B69" t="s">
        <v>214</v>
      </c>
      <c r="C69" s="35">
        <v>42797.530671296299</v>
      </c>
      <c r="D69" s="8" t="s">
        <v>194</v>
      </c>
      <c r="E69" s="3">
        <v>209</v>
      </c>
      <c r="F69" s="3">
        <v>564</v>
      </c>
      <c r="G69" s="3" t="s">
        <v>97</v>
      </c>
      <c r="H69" s="27" t="s">
        <v>215</v>
      </c>
      <c r="S69" s="5" t="s">
        <v>573</v>
      </c>
      <c r="U69" s="3" t="str">
        <f t="shared" si="0"/>
        <v/>
      </c>
      <c r="AA69" s="3" t="str">
        <f t="shared" si="1"/>
        <v/>
      </c>
    </row>
    <row r="70" spans="1:27" hidden="1">
      <c r="A70" s="8">
        <v>2</v>
      </c>
      <c r="B70" t="s">
        <v>216</v>
      </c>
      <c r="C70" s="35">
        <v>42797.53634259259</v>
      </c>
      <c r="D70" s="8" t="s">
        <v>194</v>
      </c>
      <c r="E70" s="3">
        <v>355</v>
      </c>
      <c r="F70" s="3" t="s">
        <v>513</v>
      </c>
      <c r="G70" s="3" t="s">
        <v>100</v>
      </c>
      <c r="H70" s="27" t="s">
        <v>533</v>
      </c>
      <c r="U70" s="3" t="str">
        <f t="shared" ref="U70:U133" si="2">IF(S70="","",IF(T70="","",H70))</f>
        <v/>
      </c>
      <c r="AA70" s="3" t="str">
        <f t="shared" ref="AA70:AA133" si="3">IF(V70="","",IF(X70="","",H70))</f>
        <v/>
      </c>
    </row>
    <row r="71" spans="1:27">
      <c r="A71" s="8">
        <v>2</v>
      </c>
      <c r="B71" t="s">
        <v>218</v>
      </c>
      <c r="C71" s="35">
        <v>42797.538657407407</v>
      </c>
      <c r="D71" s="8" t="s">
        <v>194</v>
      </c>
      <c r="E71" s="3">
        <v>104</v>
      </c>
      <c r="H71" s="27" t="s">
        <v>219</v>
      </c>
      <c r="S71" s="5" t="s">
        <v>573</v>
      </c>
      <c r="U71" s="3" t="str">
        <f t="shared" si="2"/>
        <v/>
      </c>
      <c r="AA71" s="3" t="str">
        <f t="shared" si="3"/>
        <v/>
      </c>
    </row>
    <row r="72" spans="1:27">
      <c r="A72" s="8">
        <v>1</v>
      </c>
      <c r="B72" t="s">
        <v>220</v>
      </c>
      <c r="C72" s="35">
        <v>42797.541203703702</v>
      </c>
      <c r="D72" s="8" t="s">
        <v>194</v>
      </c>
      <c r="E72" s="3">
        <v>86</v>
      </c>
      <c r="F72" s="3">
        <v>499</v>
      </c>
      <c r="G72" s="3" t="s">
        <v>97</v>
      </c>
      <c r="H72" s="27" t="s">
        <v>221</v>
      </c>
      <c r="S72" s="5" t="s">
        <v>573</v>
      </c>
      <c r="U72" s="3" t="str">
        <f t="shared" si="2"/>
        <v/>
      </c>
      <c r="AA72" s="3" t="str">
        <f t="shared" si="3"/>
        <v/>
      </c>
    </row>
    <row r="73" spans="1:27" hidden="1">
      <c r="A73" s="8">
        <v>1</v>
      </c>
      <c r="B73" t="s">
        <v>222</v>
      </c>
      <c r="C73" s="35">
        <v>42797.543946759259</v>
      </c>
      <c r="D73" s="8" t="s">
        <v>194</v>
      </c>
      <c r="E73" s="3">
        <v>413</v>
      </c>
      <c r="F73" s="3" t="s">
        <v>513</v>
      </c>
      <c r="G73" s="3" t="s">
        <v>100</v>
      </c>
      <c r="H73" s="27" t="s">
        <v>534</v>
      </c>
      <c r="U73" s="3" t="str">
        <f t="shared" si="2"/>
        <v/>
      </c>
      <c r="AA73" s="3" t="str">
        <f t="shared" si="3"/>
        <v/>
      </c>
    </row>
    <row r="74" spans="1:27">
      <c r="A74" s="8">
        <v>1</v>
      </c>
      <c r="B74" t="s">
        <v>224</v>
      </c>
      <c r="C74" s="35">
        <v>42797.546666666669</v>
      </c>
      <c r="D74" s="8" t="s">
        <v>194</v>
      </c>
      <c r="E74" s="3">
        <v>432</v>
      </c>
      <c r="G74" s="3" t="s">
        <v>100</v>
      </c>
      <c r="H74" s="27" t="s">
        <v>225</v>
      </c>
      <c r="S74" s="5" t="s">
        <v>573</v>
      </c>
      <c r="U74" s="3" t="str">
        <f t="shared" si="2"/>
        <v/>
      </c>
      <c r="AA74" s="3" t="str">
        <f t="shared" si="3"/>
        <v/>
      </c>
    </row>
    <row r="75" spans="1:27">
      <c r="A75" s="8">
        <v>1</v>
      </c>
      <c r="B75" t="s">
        <v>226</v>
      </c>
      <c r="C75" s="35">
        <v>42797.549895833334</v>
      </c>
      <c r="D75" s="8" t="s">
        <v>194</v>
      </c>
      <c r="E75" s="3">
        <v>790</v>
      </c>
      <c r="F75" s="3">
        <v>2161</v>
      </c>
      <c r="G75" s="3" t="s">
        <v>105</v>
      </c>
      <c r="H75" s="27" t="s">
        <v>227</v>
      </c>
      <c r="S75" s="5" t="s">
        <v>573</v>
      </c>
      <c r="U75" s="3" t="str">
        <f t="shared" si="2"/>
        <v/>
      </c>
      <c r="AA75" s="3" t="str">
        <f t="shared" si="3"/>
        <v/>
      </c>
    </row>
    <row r="76" spans="1:27" hidden="1">
      <c r="A76" s="8">
        <v>1</v>
      </c>
      <c r="B76" t="s">
        <v>228</v>
      </c>
      <c r="C76" s="35">
        <v>42797.482604166667</v>
      </c>
      <c r="D76" s="8" t="s">
        <v>229</v>
      </c>
      <c r="E76" s="3">
        <v>915</v>
      </c>
      <c r="F76" s="3" t="s">
        <v>513</v>
      </c>
      <c r="G76" s="3" t="s">
        <v>105</v>
      </c>
      <c r="H76" s="27" t="s">
        <v>535</v>
      </c>
      <c r="U76" s="3" t="str">
        <f t="shared" si="2"/>
        <v/>
      </c>
      <c r="AA76" s="3" t="str">
        <f t="shared" si="3"/>
        <v/>
      </c>
    </row>
    <row r="77" spans="1:27" hidden="1">
      <c r="A77" s="8">
        <v>1</v>
      </c>
      <c r="B77" t="s">
        <v>231</v>
      </c>
      <c r="C77" s="35">
        <v>42797.468275462961</v>
      </c>
      <c r="D77" s="8" t="s">
        <v>229</v>
      </c>
      <c r="E77" s="3">
        <v>456</v>
      </c>
      <c r="F77" s="3" t="s">
        <v>513</v>
      </c>
      <c r="G77" s="3" t="s">
        <v>100</v>
      </c>
      <c r="H77" s="27" t="s">
        <v>536</v>
      </c>
      <c r="U77" s="3" t="str">
        <f t="shared" si="2"/>
        <v/>
      </c>
      <c r="AA77" s="3" t="str">
        <f t="shared" si="3"/>
        <v/>
      </c>
    </row>
    <row r="78" spans="1:27">
      <c r="A78" s="8">
        <v>1</v>
      </c>
      <c r="B78" t="s">
        <v>233</v>
      </c>
      <c r="C78" s="35">
        <v>42797.486944444441</v>
      </c>
      <c r="D78" s="8" t="s">
        <v>229</v>
      </c>
      <c r="E78" s="3">
        <v>54</v>
      </c>
      <c r="H78" s="27" t="s">
        <v>234</v>
      </c>
      <c r="S78" s="5" t="s">
        <v>573</v>
      </c>
      <c r="U78" s="3" t="str">
        <f t="shared" si="2"/>
        <v/>
      </c>
      <c r="AA78" s="3" t="str">
        <f t="shared" si="3"/>
        <v/>
      </c>
    </row>
    <row r="79" spans="1:27">
      <c r="A79" s="8">
        <v>1</v>
      </c>
      <c r="B79" t="s">
        <v>235</v>
      </c>
      <c r="C79" s="35">
        <v>42797.491724537038</v>
      </c>
      <c r="D79" s="8" t="s">
        <v>229</v>
      </c>
      <c r="E79" s="3">
        <v>37</v>
      </c>
      <c r="H79" s="27" t="s">
        <v>236</v>
      </c>
      <c r="S79" s="5" t="s">
        <v>573</v>
      </c>
      <c r="U79" s="3" t="str">
        <f t="shared" si="2"/>
        <v/>
      </c>
      <c r="AA79" s="3" t="str">
        <f t="shared" si="3"/>
        <v/>
      </c>
    </row>
    <row r="80" spans="1:27">
      <c r="A80" s="8">
        <v>1</v>
      </c>
      <c r="B80" t="s">
        <v>237</v>
      </c>
      <c r="C80" s="35">
        <v>42797.497013888889</v>
      </c>
      <c r="D80" s="8" t="s">
        <v>229</v>
      </c>
      <c r="E80" s="3">
        <v>243</v>
      </c>
      <c r="H80" s="27" t="s">
        <v>238</v>
      </c>
      <c r="S80" s="5" t="s">
        <v>573</v>
      </c>
      <c r="U80" s="3" t="str">
        <f t="shared" si="2"/>
        <v/>
      </c>
      <c r="AA80" s="3" t="str">
        <f t="shared" si="3"/>
        <v/>
      </c>
    </row>
    <row r="81" spans="1:27">
      <c r="A81" s="8">
        <v>2</v>
      </c>
      <c r="B81" t="s">
        <v>239</v>
      </c>
      <c r="C81" s="35">
        <v>42797.536319444444</v>
      </c>
      <c r="D81" s="8" t="s">
        <v>229</v>
      </c>
      <c r="E81" s="3">
        <v>417</v>
      </c>
      <c r="H81" s="27" t="s">
        <v>240</v>
      </c>
      <c r="S81" s="5" t="s">
        <v>573</v>
      </c>
      <c r="U81" s="3" t="str">
        <f t="shared" si="2"/>
        <v/>
      </c>
      <c r="AA81" s="3" t="str">
        <f t="shared" si="3"/>
        <v/>
      </c>
    </row>
    <row r="82" spans="1:27">
      <c r="A82" s="8">
        <v>2</v>
      </c>
      <c r="B82" t="s">
        <v>241</v>
      </c>
      <c r="C82" s="35">
        <v>42797.538217592592</v>
      </c>
      <c r="D82" s="8" t="s">
        <v>229</v>
      </c>
      <c r="E82" s="3">
        <v>117</v>
      </c>
      <c r="G82" s="3" t="s">
        <v>97</v>
      </c>
      <c r="H82" s="27" t="s">
        <v>242</v>
      </c>
      <c r="S82" s="5" t="s">
        <v>573</v>
      </c>
      <c r="U82" s="3" t="str">
        <f t="shared" si="2"/>
        <v/>
      </c>
      <c r="AA82" s="3" t="str">
        <f t="shared" si="3"/>
        <v/>
      </c>
    </row>
    <row r="83" spans="1:27">
      <c r="A83" s="8">
        <v>1</v>
      </c>
      <c r="B83" t="s">
        <v>243</v>
      </c>
      <c r="C83" s="35">
        <v>42797.541493055556</v>
      </c>
      <c r="D83" s="8" t="s">
        <v>229</v>
      </c>
      <c r="E83" s="3">
        <v>138</v>
      </c>
      <c r="F83" s="3">
        <v>519</v>
      </c>
      <c r="G83" s="3" t="s">
        <v>97</v>
      </c>
      <c r="H83" s="27" t="s">
        <v>244</v>
      </c>
      <c r="S83" s="5" t="s">
        <v>573</v>
      </c>
      <c r="U83" s="3" t="str">
        <f t="shared" si="2"/>
        <v/>
      </c>
      <c r="AA83" s="3" t="str">
        <f t="shared" si="3"/>
        <v/>
      </c>
    </row>
    <row r="84" spans="1:27" hidden="1">
      <c r="A84" s="8">
        <v>1</v>
      </c>
      <c r="B84" t="s">
        <v>245</v>
      </c>
      <c r="C84" s="35">
        <v>42797.558194444442</v>
      </c>
      <c r="D84" s="8" t="s">
        <v>229</v>
      </c>
      <c r="E84" s="3">
        <v>381</v>
      </c>
      <c r="F84" s="3" t="s">
        <v>513</v>
      </c>
      <c r="G84" s="3" t="s">
        <v>100</v>
      </c>
      <c r="H84" s="27" t="s">
        <v>537</v>
      </c>
      <c r="U84" s="3" t="str">
        <f t="shared" si="2"/>
        <v/>
      </c>
      <c r="AA84" s="3" t="str">
        <f t="shared" si="3"/>
        <v/>
      </c>
    </row>
    <row r="85" spans="1:27">
      <c r="A85" s="8">
        <v>1</v>
      </c>
      <c r="B85" t="s">
        <v>247</v>
      </c>
      <c r="C85" s="35">
        <v>42797.570347222223</v>
      </c>
      <c r="D85" s="8" t="s">
        <v>229</v>
      </c>
      <c r="E85" s="3">
        <v>225</v>
      </c>
      <c r="H85" s="27" t="s">
        <v>248</v>
      </c>
      <c r="S85" s="5" t="s">
        <v>573</v>
      </c>
      <c r="U85" s="3" t="str">
        <f t="shared" si="2"/>
        <v/>
      </c>
      <c r="AA85" s="3" t="str">
        <f t="shared" si="3"/>
        <v/>
      </c>
    </row>
    <row r="86" spans="1:27">
      <c r="A86" s="8">
        <v>1</v>
      </c>
      <c r="B86" t="s">
        <v>249</v>
      </c>
      <c r="C86" s="35">
        <v>42797.573622685188</v>
      </c>
      <c r="D86" s="8" t="s">
        <v>229</v>
      </c>
      <c r="E86" s="3">
        <v>34</v>
      </c>
      <c r="G86" s="3" t="s">
        <v>97</v>
      </c>
      <c r="H86" s="27" t="s">
        <v>250</v>
      </c>
      <c r="S86" s="5" t="s">
        <v>573</v>
      </c>
      <c r="U86" s="3" t="str">
        <f t="shared" si="2"/>
        <v/>
      </c>
      <c r="AA86" s="3" t="str">
        <f t="shared" si="3"/>
        <v/>
      </c>
    </row>
    <row r="87" spans="1:27">
      <c r="A87" s="8">
        <v>1</v>
      </c>
      <c r="B87" t="s">
        <v>251</v>
      </c>
      <c r="C87" s="35">
        <v>42797.576238425929</v>
      </c>
      <c r="D87" s="8" t="s">
        <v>229</v>
      </c>
      <c r="E87" s="3">
        <v>206</v>
      </c>
      <c r="H87" s="27" t="s">
        <v>252</v>
      </c>
      <c r="S87" s="5" t="s">
        <v>573</v>
      </c>
      <c r="U87" s="3" t="str">
        <f t="shared" si="2"/>
        <v/>
      </c>
      <c r="AA87" s="3" t="str">
        <f t="shared" si="3"/>
        <v/>
      </c>
    </row>
    <row r="88" spans="1:27">
      <c r="A88" s="8">
        <v>1</v>
      </c>
      <c r="B88" t="s">
        <v>253</v>
      </c>
      <c r="C88" s="35">
        <v>42797.579907407409</v>
      </c>
      <c r="D88" s="8" t="s">
        <v>229</v>
      </c>
      <c r="E88" s="3">
        <v>693</v>
      </c>
      <c r="H88" s="27" t="s">
        <v>254</v>
      </c>
      <c r="S88" s="5" t="s">
        <v>573</v>
      </c>
      <c r="U88" s="3" t="str">
        <f t="shared" si="2"/>
        <v/>
      </c>
      <c r="AA88" s="3" t="str">
        <f t="shared" si="3"/>
        <v/>
      </c>
    </row>
    <row r="89" spans="1:27">
      <c r="A89" s="8">
        <v>1</v>
      </c>
      <c r="B89" t="s">
        <v>255</v>
      </c>
      <c r="C89" s="35">
        <v>42797.58320601852</v>
      </c>
      <c r="D89" s="8" t="s">
        <v>229</v>
      </c>
      <c r="E89" s="3">
        <v>98</v>
      </c>
      <c r="H89" s="27" t="s">
        <v>256</v>
      </c>
      <c r="S89" s="5" t="s">
        <v>573</v>
      </c>
      <c r="U89" s="3" t="str">
        <f t="shared" si="2"/>
        <v/>
      </c>
      <c r="AA89" s="3" t="str">
        <f t="shared" si="3"/>
        <v/>
      </c>
    </row>
    <row r="90" spans="1:27">
      <c r="A90" s="8">
        <v>1</v>
      </c>
      <c r="B90" t="s">
        <v>257</v>
      </c>
      <c r="C90" s="35">
        <v>42797.584953703707</v>
      </c>
      <c r="D90" s="8" t="s">
        <v>229</v>
      </c>
      <c r="E90" s="3">
        <v>96</v>
      </c>
      <c r="H90" s="27" t="s">
        <v>258</v>
      </c>
      <c r="S90" s="5" t="s">
        <v>573</v>
      </c>
      <c r="U90" s="3" t="str">
        <f t="shared" si="2"/>
        <v/>
      </c>
      <c r="AA90" s="3" t="str">
        <f t="shared" si="3"/>
        <v/>
      </c>
    </row>
    <row r="91" spans="1:27">
      <c r="A91" s="8">
        <v>2</v>
      </c>
      <c r="B91" t="s">
        <v>259</v>
      </c>
      <c r="C91" s="35">
        <v>42797.587754629632</v>
      </c>
      <c r="D91" s="8" t="s">
        <v>229</v>
      </c>
      <c r="E91" s="3">
        <v>390</v>
      </c>
      <c r="F91" s="3">
        <v>421</v>
      </c>
      <c r="G91" s="3" t="s">
        <v>97</v>
      </c>
      <c r="H91" s="27" t="s">
        <v>260</v>
      </c>
      <c r="S91" s="5" t="s">
        <v>573</v>
      </c>
      <c r="U91" s="3" t="str">
        <f t="shared" si="2"/>
        <v/>
      </c>
      <c r="AA91" s="3" t="str">
        <f t="shared" si="3"/>
        <v/>
      </c>
    </row>
    <row r="92" spans="1:27" hidden="1">
      <c r="A92" s="8">
        <v>1</v>
      </c>
      <c r="B92" t="s">
        <v>261</v>
      </c>
      <c r="C92" s="35">
        <v>42797.591527777775</v>
      </c>
      <c r="D92" s="8" t="s">
        <v>229</v>
      </c>
      <c r="E92" s="3">
        <v>31</v>
      </c>
      <c r="F92" s="3" t="s">
        <v>513</v>
      </c>
      <c r="G92" s="3" t="s">
        <v>100</v>
      </c>
      <c r="H92" s="27" t="s">
        <v>538</v>
      </c>
      <c r="U92" s="3" t="str">
        <f t="shared" si="2"/>
        <v/>
      </c>
      <c r="AA92" s="3" t="str">
        <f t="shared" si="3"/>
        <v/>
      </c>
    </row>
    <row r="93" spans="1:27">
      <c r="A93" s="8">
        <v>1</v>
      </c>
      <c r="B93" t="s">
        <v>263</v>
      </c>
      <c r="C93" s="35">
        <v>42797.595960648148</v>
      </c>
      <c r="D93" s="8" t="s">
        <v>229</v>
      </c>
      <c r="E93" s="3">
        <v>299</v>
      </c>
      <c r="H93" s="27" t="s">
        <v>264</v>
      </c>
      <c r="S93" s="5" t="s">
        <v>574</v>
      </c>
      <c r="U93" s="3" t="str">
        <f t="shared" si="2"/>
        <v/>
      </c>
      <c r="AA93" s="3" t="str">
        <f t="shared" si="3"/>
        <v/>
      </c>
    </row>
    <row r="94" spans="1:27">
      <c r="A94" s="8">
        <v>1</v>
      </c>
      <c r="B94" t="s">
        <v>265</v>
      </c>
      <c r="C94" s="35">
        <v>42797.599745370368</v>
      </c>
      <c r="D94" s="8" t="s">
        <v>229</v>
      </c>
      <c r="E94" s="3">
        <v>180</v>
      </c>
      <c r="F94" s="3">
        <v>301</v>
      </c>
      <c r="G94" s="3" t="s">
        <v>97</v>
      </c>
      <c r="H94" s="27" t="s">
        <v>266</v>
      </c>
      <c r="S94" s="5" t="s">
        <v>574</v>
      </c>
      <c r="U94" s="3" t="str">
        <f t="shared" si="2"/>
        <v/>
      </c>
      <c r="AA94" s="3" t="str">
        <f t="shared" si="3"/>
        <v/>
      </c>
    </row>
    <row r="95" spans="1:27" hidden="1">
      <c r="A95" s="8">
        <v>2</v>
      </c>
      <c r="B95" t="s">
        <v>267</v>
      </c>
      <c r="C95" s="35">
        <v>42797.555995370371</v>
      </c>
      <c r="D95" s="8" t="s">
        <v>88</v>
      </c>
      <c r="E95" s="3">
        <v>121</v>
      </c>
      <c r="F95" s="3" t="s">
        <v>513</v>
      </c>
      <c r="G95" s="3" t="s">
        <v>100</v>
      </c>
      <c r="H95" s="27" t="s">
        <v>539</v>
      </c>
      <c r="U95" s="3" t="str">
        <f t="shared" si="2"/>
        <v/>
      </c>
      <c r="AA95" s="3" t="str">
        <f t="shared" si="3"/>
        <v/>
      </c>
    </row>
    <row r="96" spans="1:27">
      <c r="A96" s="8">
        <v>2</v>
      </c>
      <c r="B96" t="s">
        <v>269</v>
      </c>
      <c r="C96" s="35">
        <v>42797.557719907411</v>
      </c>
      <c r="D96" s="8" t="s">
        <v>88</v>
      </c>
      <c r="E96" s="3">
        <v>117</v>
      </c>
      <c r="F96" s="3">
        <v>949</v>
      </c>
      <c r="G96" s="3" t="s">
        <v>97</v>
      </c>
      <c r="H96" s="27" t="s">
        <v>270</v>
      </c>
      <c r="S96" s="5" t="s">
        <v>574</v>
      </c>
      <c r="U96" s="3" t="str">
        <f t="shared" si="2"/>
        <v/>
      </c>
      <c r="AA96" s="3" t="str">
        <f t="shared" si="3"/>
        <v/>
      </c>
    </row>
    <row r="97" spans="1:27" hidden="1">
      <c r="A97" s="8">
        <v>2</v>
      </c>
      <c r="B97" t="s">
        <v>271</v>
      </c>
      <c r="C97" s="35">
        <v>42797.563240740739</v>
      </c>
      <c r="D97" s="8" t="s">
        <v>88</v>
      </c>
      <c r="E97" s="3">
        <v>832</v>
      </c>
      <c r="F97" s="3" t="s">
        <v>513</v>
      </c>
      <c r="G97" s="3" t="s">
        <v>100</v>
      </c>
      <c r="H97" s="27" t="s">
        <v>540</v>
      </c>
      <c r="U97" s="3" t="str">
        <f t="shared" si="2"/>
        <v/>
      </c>
      <c r="AA97" s="3" t="str">
        <f t="shared" si="3"/>
        <v/>
      </c>
    </row>
    <row r="98" spans="1:27">
      <c r="A98" s="8">
        <v>2</v>
      </c>
      <c r="B98" t="s">
        <v>273</v>
      </c>
      <c r="C98" s="35">
        <v>42797.56627314815</v>
      </c>
      <c r="D98" s="8" t="s">
        <v>88</v>
      </c>
      <c r="E98" s="3">
        <v>705</v>
      </c>
      <c r="F98" s="3">
        <v>738</v>
      </c>
      <c r="G98" s="3" t="s">
        <v>97</v>
      </c>
      <c r="H98" s="27" t="s">
        <v>274</v>
      </c>
      <c r="S98" s="5" t="s">
        <v>574</v>
      </c>
      <c r="U98" s="3" t="str">
        <f t="shared" si="2"/>
        <v/>
      </c>
      <c r="AA98" s="3" t="str">
        <f t="shared" si="3"/>
        <v/>
      </c>
    </row>
    <row r="99" spans="1:27" hidden="1">
      <c r="A99" s="8">
        <v>2</v>
      </c>
      <c r="B99" t="s">
        <v>275</v>
      </c>
      <c r="C99" s="35">
        <v>42797.568101851852</v>
      </c>
      <c r="D99" s="8" t="s">
        <v>88</v>
      </c>
      <c r="E99" s="3">
        <v>33</v>
      </c>
      <c r="F99" s="3" t="s">
        <v>513</v>
      </c>
      <c r="G99" s="3" t="s">
        <v>100</v>
      </c>
      <c r="H99" s="27" t="s">
        <v>541</v>
      </c>
      <c r="U99" s="3" t="str">
        <f t="shared" si="2"/>
        <v/>
      </c>
      <c r="AA99" s="3" t="str">
        <f t="shared" si="3"/>
        <v/>
      </c>
    </row>
    <row r="100" spans="1:27">
      <c r="A100" s="8">
        <v>2</v>
      </c>
      <c r="B100" t="s">
        <v>277</v>
      </c>
      <c r="C100" s="8">
        <v>42797.570243055554</v>
      </c>
      <c r="D100" s="8" t="s">
        <v>88</v>
      </c>
      <c r="E100" s="3">
        <v>259</v>
      </c>
      <c r="H100" s="27" t="s">
        <v>278</v>
      </c>
      <c r="S100" s="5" t="s">
        <v>574</v>
      </c>
      <c r="U100" s="3" t="str">
        <f t="shared" si="2"/>
        <v/>
      </c>
      <c r="AA100" s="3" t="str">
        <f t="shared" si="3"/>
        <v/>
      </c>
    </row>
    <row r="101" spans="1:27" hidden="1">
      <c r="A101" s="8">
        <v>1</v>
      </c>
      <c r="B101" t="s">
        <v>279</v>
      </c>
      <c r="C101" s="8">
        <v>42797.573738425926</v>
      </c>
      <c r="D101" s="8" t="s">
        <v>88</v>
      </c>
      <c r="E101" s="3" t="s">
        <v>110</v>
      </c>
      <c r="H101" s="27"/>
      <c r="U101" s="3" t="str">
        <f t="shared" si="2"/>
        <v/>
      </c>
      <c r="AA101" s="3" t="str">
        <f t="shared" si="3"/>
        <v/>
      </c>
    </row>
    <row r="102" spans="1:27">
      <c r="A102" s="8">
        <v>2</v>
      </c>
      <c r="B102" t="s">
        <v>280</v>
      </c>
      <c r="C102" s="8">
        <v>42797.57640046296</v>
      </c>
      <c r="D102" s="8" t="s">
        <v>88</v>
      </c>
      <c r="E102" s="3">
        <v>66</v>
      </c>
      <c r="H102" s="27" t="s">
        <v>281</v>
      </c>
      <c r="S102" s="5" t="s">
        <v>574</v>
      </c>
      <c r="U102" s="3" t="str">
        <f t="shared" si="2"/>
        <v/>
      </c>
      <c r="AA102" s="3" t="str">
        <f t="shared" si="3"/>
        <v/>
      </c>
    </row>
    <row r="103" spans="1:27">
      <c r="A103" s="8">
        <v>2</v>
      </c>
      <c r="B103" t="s">
        <v>282</v>
      </c>
      <c r="C103" s="8">
        <v>42797.578182870369</v>
      </c>
      <c r="D103" s="8" t="s">
        <v>88</v>
      </c>
      <c r="E103" s="3">
        <v>109</v>
      </c>
      <c r="H103" s="27" t="s">
        <v>283</v>
      </c>
      <c r="S103" s="5" t="s">
        <v>574</v>
      </c>
      <c r="U103" s="3" t="str">
        <f t="shared" si="2"/>
        <v/>
      </c>
      <c r="AA103" s="3" t="str">
        <f t="shared" si="3"/>
        <v/>
      </c>
    </row>
    <row r="104" spans="1:27">
      <c r="A104" s="8">
        <v>1</v>
      </c>
      <c r="B104" t="s">
        <v>284</v>
      </c>
      <c r="C104" s="8">
        <v>42797.580347222225</v>
      </c>
      <c r="D104" s="8" t="s">
        <v>88</v>
      </c>
      <c r="E104" s="3">
        <v>97</v>
      </c>
      <c r="H104" s="27" t="s">
        <v>285</v>
      </c>
      <c r="S104" s="5" t="s">
        <v>574</v>
      </c>
      <c r="U104" s="3" t="str">
        <f t="shared" si="2"/>
        <v/>
      </c>
      <c r="AA104" s="3" t="str">
        <f t="shared" si="3"/>
        <v/>
      </c>
    </row>
    <row r="105" spans="1:27">
      <c r="A105" s="8">
        <v>2</v>
      </c>
      <c r="B105" t="s">
        <v>286</v>
      </c>
      <c r="C105" s="8">
        <v>42797.582337962966</v>
      </c>
      <c r="D105" s="8" t="s">
        <v>88</v>
      </c>
      <c r="E105" s="3">
        <v>675</v>
      </c>
      <c r="F105" s="3">
        <v>3093</v>
      </c>
      <c r="G105" s="3" t="s">
        <v>105</v>
      </c>
      <c r="H105" s="27" t="s">
        <v>287</v>
      </c>
      <c r="S105" s="5" t="s">
        <v>574</v>
      </c>
      <c r="U105" s="3" t="str">
        <f t="shared" si="2"/>
        <v/>
      </c>
      <c r="AA105" s="3" t="str">
        <f t="shared" si="3"/>
        <v/>
      </c>
    </row>
    <row r="106" spans="1:27" hidden="1">
      <c r="A106" s="8">
        <v>3</v>
      </c>
      <c r="B106" t="s">
        <v>288</v>
      </c>
      <c r="C106" s="8">
        <v>42797.583981481483</v>
      </c>
      <c r="D106" s="8" t="s">
        <v>88</v>
      </c>
      <c r="E106" s="3">
        <v>525</v>
      </c>
      <c r="F106" s="3" t="s">
        <v>513</v>
      </c>
      <c r="G106" s="3" t="s">
        <v>105</v>
      </c>
      <c r="H106" s="27" t="s">
        <v>542</v>
      </c>
      <c r="U106" s="3" t="str">
        <f t="shared" si="2"/>
        <v/>
      </c>
      <c r="AA106" s="3" t="str">
        <f t="shared" si="3"/>
        <v/>
      </c>
    </row>
    <row r="107" spans="1:27" hidden="1">
      <c r="A107" s="8">
        <v>2</v>
      </c>
      <c r="B107" t="s">
        <v>290</v>
      </c>
      <c r="C107" s="8">
        <v>42797.585659722223</v>
      </c>
      <c r="D107" s="8" t="s">
        <v>88</v>
      </c>
      <c r="E107" s="3">
        <v>600</v>
      </c>
      <c r="F107" s="3" t="s">
        <v>513</v>
      </c>
      <c r="G107" s="3" t="s">
        <v>105</v>
      </c>
      <c r="H107" s="27" t="s">
        <v>543</v>
      </c>
      <c r="U107" s="3" t="str">
        <f t="shared" si="2"/>
        <v/>
      </c>
      <c r="AA107" s="3" t="str">
        <f t="shared" si="3"/>
        <v/>
      </c>
    </row>
    <row r="108" spans="1:27" hidden="1">
      <c r="A108" s="8">
        <v>2</v>
      </c>
      <c r="B108" t="s">
        <v>292</v>
      </c>
      <c r="C108" s="8">
        <v>42797.587523148148</v>
      </c>
      <c r="D108" s="8" t="s">
        <v>88</v>
      </c>
      <c r="E108" s="3">
        <v>915</v>
      </c>
      <c r="F108" s="3" t="s">
        <v>513</v>
      </c>
      <c r="G108" s="3" t="s">
        <v>105</v>
      </c>
      <c r="H108" s="27" t="s">
        <v>544</v>
      </c>
      <c r="U108" s="3" t="str">
        <f t="shared" si="2"/>
        <v/>
      </c>
      <c r="AA108" s="3" t="str">
        <f t="shared" si="3"/>
        <v/>
      </c>
    </row>
    <row r="109" spans="1:27" hidden="1">
      <c r="A109" s="8">
        <v>2</v>
      </c>
      <c r="B109" t="s">
        <v>294</v>
      </c>
      <c r="C109" s="8">
        <v>42797.464143518519</v>
      </c>
      <c r="D109" s="8" t="s">
        <v>295</v>
      </c>
      <c r="E109" s="3">
        <v>378</v>
      </c>
      <c r="F109" s="3" t="s">
        <v>513</v>
      </c>
      <c r="G109" s="3" t="s">
        <v>100</v>
      </c>
      <c r="H109" s="27" t="s">
        <v>545</v>
      </c>
      <c r="U109" s="3" t="str">
        <f t="shared" si="2"/>
        <v/>
      </c>
      <c r="AA109" s="3" t="str">
        <f t="shared" si="3"/>
        <v/>
      </c>
    </row>
    <row r="110" spans="1:27">
      <c r="A110" s="8">
        <v>1</v>
      </c>
      <c r="B110" t="s">
        <v>297</v>
      </c>
      <c r="C110" s="8">
        <v>42797.467986111114</v>
      </c>
      <c r="D110" s="8" t="s">
        <v>295</v>
      </c>
      <c r="E110" s="3">
        <v>189</v>
      </c>
      <c r="H110" s="27" t="s">
        <v>298</v>
      </c>
      <c r="S110" s="5" t="s">
        <v>574</v>
      </c>
      <c r="U110" s="3" t="str">
        <f t="shared" si="2"/>
        <v/>
      </c>
      <c r="AA110" s="3" t="str">
        <f t="shared" si="3"/>
        <v/>
      </c>
    </row>
    <row r="111" spans="1:27">
      <c r="A111" s="8">
        <v>1</v>
      </c>
      <c r="B111" t="s">
        <v>299</v>
      </c>
      <c r="C111" s="8">
        <v>42797.471006944441</v>
      </c>
      <c r="D111" s="8" t="s">
        <v>295</v>
      </c>
      <c r="E111" s="3">
        <v>239</v>
      </c>
      <c r="H111" s="27" t="s">
        <v>300</v>
      </c>
      <c r="S111" s="5" t="s">
        <v>574</v>
      </c>
      <c r="U111" s="3" t="str">
        <f t="shared" si="2"/>
        <v/>
      </c>
      <c r="AA111" s="3" t="str">
        <f t="shared" si="3"/>
        <v/>
      </c>
    </row>
    <row r="112" spans="1:27">
      <c r="A112" s="8">
        <v>1</v>
      </c>
      <c r="B112" t="s">
        <v>301</v>
      </c>
      <c r="C112" s="8">
        <v>42797.477685185186</v>
      </c>
      <c r="D112" s="8" t="s">
        <v>295</v>
      </c>
      <c r="E112" s="3">
        <v>247</v>
      </c>
      <c r="H112" s="27" t="s">
        <v>302</v>
      </c>
      <c r="S112" s="5" t="s">
        <v>574</v>
      </c>
      <c r="U112" s="3" t="str">
        <f t="shared" si="2"/>
        <v/>
      </c>
      <c r="AA112" s="3" t="str">
        <f t="shared" si="3"/>
        <v/>
      </c>
    </row>
    <row r="113" spans="1:27">
      <c r="A113" s="8">
        <v>1</v>
      </c>
      <c r="B113" t="s">
        <v>303</v>
      </c>
      <c r="C113" s="8">
        <v>42797.495844907404</v>
      </c>
      <c r="D113" s="8" t="s">
        <v>295</v>
      </c>
      <c r="E113" s="3">
        <v>78</v>
      </c>
      <c r="F113" s="3">
        <v>260</v>
      </c>
      <c r="G113" s="3" t="s">
        <v>97</v>
      </c>
      <c r="H113" s="27" t="s">
        <v>304</v>
      </c>
      <c r="S113" s="5" t="s">
        <v>574</v>
      </c>
      <c r="U113" s="3" t="str">
        <f t="shared" si="2"/>
        <v/>
      </c>
      <c r="AA113" s="3" t="str">
        <f t="shared" si="3"/>
        <v/>
      </c>
    </row>
    <row r="114" spans="1:27" hidden="1">
      <c r="A114" s="8">
        <v>1</v>
      </c>
      <c r="B114" t="s">
        <v>305</v>
      </c>
      <c r="C114" s="8">
        <v>42797.481145833335</v>
      </c>
      <c r="D114" s="8" t="s">
        <v>295</v>
      </c>
      <c r="E114" s="3">
        <v>182</v>
      </c>
      <c r="F114" s="3" t="s">
        <v>513</v>
      </c>
      <c r="G114" s="3" t="s">
        <v>100</v>
      </c>
      <c r="H114" s="27" t="s">
        <v>546</v>
      </c>
      <c r="U114" s="3" t="str">
        <f t="shared" si="2"/>
        <v/>
      </c>
      <c r="AA114" s="3" t="str">
        <f t="shared" si="3"/>
        <v/>
      </c>
    </row>
    <row r="115" spans="1:27">
      <c r="A115" s="8">
        <v>1</v>
      </c>
      <c r="B115" t="s">
        <v>307</v>
      </c>
      <c r="C115" s="8">
        <v>42797.488495370373</v>
      </c>
      <c r="D115" s="8" t="s">
        <v>295</v>
      </c>
      <c r="E115" s="3">
        <v>202</v>
      </c>
      <c r="H115" s="27" t="s">
        <v>308</v>
      </c>
      <c r="S115" s="5" t="s">
        <v>574</v>
      </c>
      <c r="U115" s="3" t="str">
        <f t="shared" si="2"/>
        <v/>
      </c>
      <c r="AA115" s="3" t="str">
        <f t="shared" si="3"/>
        <v/>
      </c>
    </row>
    <row r="116" spans="1:27">
      <c r="A116" s="8">
        <v>1</v>
      </c>
      <c r="B116" t="s">
        <v>309</v>
      </c>
      <c r="C116" s="8">
        <v>42797.491111111114</v>
      </c>
      <c r="D116" s="8" t="s">
        <v>295</v>
      </c>
      <c r="E116" s="3">
        <v>47</v>
      </c>
      <c r="H116" s="27" t="s">
        <v>310</v>
      </c>
      <c r="S116" s="5" t="s">
        <v>574</v>
      </c>
      <c r="U116" s="3" t="str">
        <f t="shared" si="2"/>
        <v/>
      </c>
      <c r="AA116" s="3" t="str">
        <f t="shared" si="3"/>
        <v/>
      </c>
    </row>
    <row r="117" spans="1:27">
      <c r="A117" s="8">
        <v>1</v>
      </c>
      <c r="B117" s="3" t="s">
        <v>311</v>
      </c>
      <c r="C117" s="8">
        <v>42797.492743055554</v>
      </c>
      <c r="D117" s="8" t="s">
        <v>295</v>
      </c>
      <c r="E117" s="3">
        <v>24</v>
      </c>
      <c r="G117" s="3" t="s">
        <v>100</v>
      </c>
      <c r="H117" s="27" t="s">
        <v>312</v>
      </c>
      <c r="S117" s="5" t="s">
        <v>574</v>
      </c>
      <c r="U117" s="3" t="str">
        <f t="shared" si="2"/>
        <v/>
      </c>
      <c r="AA117" s="3" t="str">
        <f t="shared" si="3"/>
        <v/>
      </c>
    </row>
    <row r="118" spans="1:27">
      <c r="A118" s="8">
        <v>1</v>
      </c>
      <c r="B118" t="s">
        <v>313</v>
      </c>
      <c r="C118" s="8">
        <v>42797.494837962964</v>
      </c>
      <c r="D118" s="8" t="s">
        <v>295</v>
      </c>
      <c r="E118" s="3">
        <v>488</v>
      </c>
      <c r="H118" s="27" t="s">
        <v>314</v>
      </c>
      <c r="S118" s="5" t="s">
        <v>574</v>
      </c>
      <c r="U118" s="3" t="str">
        <f t="shared" si="2"/>
        <v/>
      </c>
      <c r="AA118" s="3" t="str">
        <f t="shared" si="3"/>
        <v/>
      </c>
    </row>
    <row r="119" spans="1:27">
      <c r="A119" s="8">
        <v>1</v>
      </c>
      <c r="B119" t="s">
        <v>315</v>
      </c>
      <c r="C119" s="8">
        <v>42797.499293981484</v>
      </c>
      <c r="D119" s="8" t="s">
        <v>295</v>
      </c>
      <c r="E119" s="3">
        <v>296</v>
      </c>
      <c r="F119" s="3">
        <v>995</v>
      </c>
      <c r="G119" s="3" t="s">
        <v>97</v>
      </c>
      <c r="H119" s="27" t="s">
        <v>316</v>
      </c>
      <c r="S119" s="5" t="s">
        <v>574</v>
      </c>
      <c r="U119" s="3" t="str">
        <f t="shared" si="2"/>
        <v/>
      </c>
      <c r="AA119" s="3" t="str">
        <f t="shared" si="3"/>
        <v/>
      </c>
    </row>
    <row r="120" spans="1:27" hidden="1">
      <c r="A120" s="8">
        <v>1</v>
      </c>
      <c r="B120" t="s">
        <v>317</v>
      </c>
      <c r="C120" s="8">
        <v>42797.531759259262</v>
      </c>
      <c r="D120" s="8" t="s">
        <v>295</v>
      </c>
      <c r="E120" s="3">
        <v>699</v>
      </c>
      <c r="F120" s="3" t="s">
        <v>513</v>
      </c>
      <c r="G120" s="3" t="s">
        <v>100</v>
      </c>
      <c r="H120" s="27" t="s">
        <v>547</v>
      </c>
      <c r="U120" s="3" t="str">
        <f t="shared" si="2"/>
        <v/>
      </c>
      <c r="AA120" s="3" t="str">
        <f t="shared" si="3"/>
        <v/>
      </c>
    </row>
    <row r="121" spans="1:27">
      <c r="A121" s="8">
        <v>2</v>
      </c>
      <c r="B121" t="s">
        <v>319</v>
      </c>
      <c r="C121" s="8">
        <v>42797.534953703704</v>
      </c>
      <c r="D121" s="8" t="s">
        <v>295</v>
      </c>
      <c r="E121" s="3">
        <v>475</v>
      </c>
      <c r="H121" s="27" t="s">
        <v>320</v>
      </c>
      <c r="S121" s="5" t="s">
        <v>574</v>
      </c>
      <c r="U121" s="3" t="str">
        <f t="shared" si="2"/>
        <v/>
      </c>
      <c r="AA121" s="3" t="str">
        <f t="shared" si="3"/>
        <v/>
      </c>
    </row>
    <row r="122" spans="1:27">
      <c r="A122" s="8">
        <v>1</v>
      </c>
      <c r="B122" t="s">
        <v>321</v>
      </c>
      <c r="C122" s="8">
        <v>42797.53696759259</v>
      </c>
      <c r="D122" s="8" t="s">
        <v>295</v>
      </c>
      <c r="E122" s="3">
        <v>153</v>
      </c>
      <c r="F122" s="3">
        <v>950</v>
      </c>
      <c r="G122" s="3" t="s">
        <v>97</v>
      </c>
      <c r="H122" s="27" t="s">
        <v>322</v>
      </c>
      <c r="S122" s="5" t="s">
        <v>574</v>
      </c>
      <c r="U122" s="3" t="str">
        <f t="shared" si="2"/>
        <v/>
      </c>
      <c r="AA122" s="3" t="str">
        <f t="shared" si="3"/>
        <v/>
      </c>
    </row>
    <row r="123" spans="1:27" hidden="1">
      <c r="A123" s="8">
        <v>2</v>
      </c>
      <c r="B123" t="s">
        <v>323</v>
      </c>
      <c r="C123" s="8">
        <v>42797.53979166667</v>
      </c>
      <c r="D123" s="8" t="s">
        <v>295</v>
      </c>
      <c r="E123" s="3">
        <v>797</v>
      </c>
      <c r="F123" s="3" t="s">
        <v>513</v>
      </c>
      <c r="G123" s="3" t="s">
        <v>100</v>
      </c>
      <c r="H123" s="27" t="s">
        <v>548</v>
      </c>
      <c r="U123" s="3" t="str">
        <f t="shared" si="2"/>
        <v/>
      </c>
      <c r="AA123" s="3" t="str">
        <f t="shared" si="3"/>
        <v/>
      </c>
    </row>
    <row r="124" spans="1:27">
      <c r="A124" s="8">
        <v>1</v>
      </c>
      <c r="B124" t="s">
        <v>325</v>
      </c>
      <c r="C124" s="8">
        <v>42797.558113425926</v>
      </c>
      <c r="D124" s="8" t="s">
        <v>134</v>
      </c>
      <c r="E124" s="3">
        <v>18</v>
      </c>
      <c r="G124" s="3" t="s">
        <v>100</v>
      </c>
      <c r="H124" s="27" t="s">
        <v>326</v>
      </c>
      <c r="S124" s="5" t="s">
        <v>574</v>
      </c>
      <c r="U124" s="3" t="str">
        <f t="shared" si="2"/>
        <v/>
      </c>
      <c r="AA124" s="3" t="str">
        <f t="shared" si="3"/>
        <v/>
      </c>
    </row>
    <row r="125" spans="1:27">
      <c r="A125" s="8">
        <v>1</v>
      </c>
      <c r="B125" t="s">
        <v>327</v>
      </c>
      <c r="C125" s="8">
        <v>42797.566655092596</v>
      </c>
      <c r="D125" s="8" t="s">
        <v>134</v>
      </c>
      <c r="E125" s="3">
        <v>20</v>
      </c>
      <c r="H125" s="27" t="s">
        <v>328</v>
      </c>
      <c r="S125" s="5" t="s">
        <v>574</v>
      </c>
      <c r="U125" s="3" t="str">
        <f t="shared" si="2"/>
        <v/>
      </c>
      <c r="AA125" s="3" t="str">
        <f t="shared" si="3"/>
        <v/>
      </c>
    </row>
    <row r="126" spans="1:27">
      <c r="A126" s="8">
        <v>1</v>
      </c>
      <c r="B126" t="s">
        <v>329</v>
      </c>
      <c r="C126" s="8">
        <v>42797.573819444442</v>
      </c>
      <c r="D126" s="8" t="s">
        <v>134</v>
      </c>
      <c r="E126" s="3">
        <v>275</v>
      </c>
      <c r="H126" s="27" t="s">
        <v>330</v>
      </c>
      <c r="S126" s="5" t="s">
        <v>574</v>
      </c>
      <c r="U126" s="3" t="str">
        <f t="shared" si="2"/>
        <v/>
      </c>
      <c r="AA126" s="3" t="str">
        <f t="shared" si="3"/>
        <v/>
      </c>
    </row>
    <row r="127" spans="1:27">
      <c r="A127" s="8">
        <v>1</v>
      </c>
      <c r="B127" t="s">
        <v>331</v>
      </c>
      <c r="C127" s="8">
        <v>42797.579282407409</v>
      </c>
      <c r="D127" s="8" t="s">
        <v>134</v>
      </c>
      <c r="E127" s="3">
        <v>48</v>
      </c>
      <c r="H127" s="27" t="s">
        <v>332</v>
      </c>
      <c r="S127" s="5" t="s">
        <v>574</v>
      </c>
      <c r="U127" s="3" t="str">
        <f t="shared" si="2"/>
        <v/>
      </c>
      <c r="AA127" s="3" t="str">
        <f t="shared" si="3"/>
        <v/>
      </c>
    </row>
    <row r="128" spans="1:27">
      <c r="A128" s="8">
        <v>1</v>
      </c>
      <c r="B128" t="s">
        <v>333</v>
      </c>
      <c r="C128" s="8">
        <v>42797.582638888889</v>
      </c>
      <c r="D128" s="8" t="s">
        <v>134</v>
      </c>
      <c r="E128" s="3">
        <v>172</v>
      </c>
      <c r="H128" s="27" t="s">
        <v>334</v>
      </c>
      <c r="S128" s="5" t="s">
        <v>574</v>
      </c>
      <c r="U128" s="3" t="str">
        <f t="shared" si="2"/>
        <v/>
      </c>
      <c r="AA128" s="3" t="str">
        <f t="shared" si="3"/>
        <v/>
      </c>
    </row>
    <row r="129" spans="1:27">
      <c r="A129" s="8">
        <v>1</v>
      </c>
      <c r="B129" t="s">
        <v>335</v>
      </c>
      <c r="C129" s="8">
        <v>42797.585555555554</v>
      </c>
      <c r="D129" s="8" t="s">
        <v>134</v>
      </c>
      <c r="E129" s="3">
        <v>341</v>
      </c>
      <c r="F129" s="3">
        <v>370</v>
      </c>
      <c r="G129" s="3" t="s">
        <v>97</v>
      </c>
      <c r="H129" s="27" t="s">
        <v>336</v>
      </c>
      <c r="S129" s="5" t="s">
        <v>574</v>
      </c>
      <c r="U129" s="3" t="str">
        <f t="shared" si="2"/>
        <v/>
      </c>
      <c r="AA129" s="3" t="str">
        <f t="shared" si="3"/>
        <v/>
      </c>
    </row>
    <row r="130" spans="1:27" hidden="1">
      <c r="A130" s="8">
        <v>1</v>
      </c>
      <c r="B130" t="s">
        <v>337</v>
      </c>
      <c r="C130" s="8">
        <v>42797.587800925925</v>
      </c>
      <c r="D130" s="8" t="s">
        <v>134</v>
      </c>
      <c r="E130" s="3">
        <v>29</v>
      </c>
      <c r="F130" s="3" t="s">
        <v>513</v>
      </c>
      <c r="G130" s="3" t="s">
        <v>100</v>
      </c>
      <c r="H130" s="27" t="s">
        <v>549</v>
      </c>
      <c r="U130" s="3" t="str">
        <f t="shared" si="2"/>
        <v/>
      </c>
      <c r="AA130" s="3" t="str">
        <f t="shared" si="3"/>
        <v/>
      </c>
    </row>
    <row r="131" spans="1:27">
      <c r="A131" s="8">
        <v>1</v>
      </c>
      <c r="B131" t="s">
        <v>339</v>
      </c>
      <c r="C131" s="8">
        <v>42797.591249999998</v>
      </c>
      <c r="D131" s="8" t="s">
        <v>134</v>
      </c>
      <c r="E131" s="3">
        <v>368</v>
      </c>
      <c r="F131" s="3">
        <v>409</v>
      </c>
      <c r="G131" s="3" t="s">
        <v>97</v>
      </c>
      <c r="H131" s="27" t="s">
        <v>340</v>
      </c>
      <c r="S131" s="5" t="s">
        <v>574</v>
      </c>
      <c r="U131" s="3" t="str">
        <f t="shared" si="2"/>
        <v/>
      </c>
      <c r="AA131" s="3" t="str">
        <f t="shared" si="3"/>
        <v/>
      </c>
    </row>
    <row r="132" spans="1:27" hidden="1">
      <c r="A132" s="8">
        <v>1</v>
      </c>
      <c r="B132" t="s">
        <v>341</v>
      </c>
      <c r="C132" s="8">
        <v>42797.594247685185</v>
      </c>
      <c r="D132" s="8" t="s">
        <v>134</v>
      </c>
      <c r="E132" s="3">
        <v>41</v>
      </c>
      <c r="F132" s="3" t="s">
        <v>513</v>
      </c>
      <c r="G132" s="3" t="s">
        <v>100</v>
      </c>
      <c r="H132" s="27" t="s">
        <v>550</v>
      </c>
      <c r="U132" s="3" t="str">
        <f t="shared" si="2"/>
        <v/>
      </c>
      <c r="AA132" s="3" t="str">
        <f t="shared" si="3"/>
        <v/>
      </c>
    </row>
    <row r="133" spans="1:27">
      <c r="A133" s="8">
        <v>1</v>
      </c>
      <c r="B133" t="s">
        <v>343</v>
      </c>
      <c r="C133" s="8">
        <v>42797.596898148149</v>
      </c>
      <c r="D133" s="8" t="s">
        <v>134</v>
      </c>
      <c r="E133" s="3">
        <v>273</v>
      </c>
      <c r="F133" s="3">
        <v>2054</v>
      </c>
      <c r="G133" s="3" t="s">
        <v>97</v>
      </c>
      <c r="H133" s="27" t="s">
        <v>344</v>
      </c>
      <c r="S133" s="5" t="s">
        <v>574</v>
      </c>
      <c r="U133" s="3" t="str">
        <f t="shared" si="2"/>
        <v/>
      </c>
      <c r="AA133" s="3" t="str">
        <f t="shared" si="3"/>
        <v/>
      </c>
    </row>
    <row r="134" spans="1:27" hidden="1">
      <c r="A134" s="8">
        <v>1</v>
      </c>
      <c r="B134" t="s">
        <v>345</v>
      </c>
      <c r="C134" s="8">
        <v>42797.599988425929</v>
      </c>
      <c r="D134" s="8" t="s">
        <v>134</v>
      </c>
      <c r="E134" s="3">
        <v>915</v>
      </c>
      <c r="F134" s="3" t="s">
        <v>513</v>
      </c>
      <c r="G134" s="3" t="s">
        <v>105</v>
      </c>
      <c r="H134" s="27" t="s">
        <v>551</v>
      </c>
      <c r="U134" s="3" t="str">
        <f t="shared" ref="U134:U197" si="4">IF(S134="","",IF(T134="","",H134))</f>
        <v/>
      </c>
      <c r="AA134" s="3" t="str">
        <f t="shared" ref="AA134:AA197" si="5">IF(V134="","",IF(X134="","",H134))</f>
        <v/>
      </c>
    </row>
    <row r="135" spans="1:27" hidden="1">
      <c r="A135" s="8">
        <v>1</v>
      </c>
      <c r="B135" t="s">
        <v>347</v>
      </c>
      <c r="C135" s="8">
        <v>42797.58965277778</v>
      </c>
      <c r="D135" s="8" t="s">
        <v>88</v>
      </c>
      <c r="E135" s="3">
        <v>866</v>
      </c>
      <c r="F135" s="3" t="s">
        <v>513</v>
      </c>
      <c r="G135" s="3" t="s">
        <v>100</v>
      </c>
      <c r="H135" s="27" t="s">
        <v>552</v>
      </c>
      <c r="U135" s="3" t="str">
        <f t="shared" si="4"/>
        <v/>
      </c>
      <c r="AA135" s="3" t="str">
        <f t="shared" si="5"/>
        <v/>
      </c>
    </row>
    <row r="136" spans="1:27">
      <c r="A136" s="8">
        <v>3</v>
      </c>
      <c r="B136" t="s">
        <v>349</v>
      </c>
      <c r="C136" s="8">
        <v>42797.594618055555</v>
      </c>
      <c r="D136" s="8" t="s">
        <v>88</v>
      </c>
      <c r="E136" s="3">
        <v>675</v>
      </c>
      <c r="F136" s="3">
        <v>3154</v>
      </c>
      <c r="G136" s="3" t="s">
        <v>105</v>
      </c>
      <c r="H136" s="27" t="s">
        <v>350</v>
      </c>
      <c r="S136" s="5" t="s">
        <v>574</v>
      </c>
      <c r="U136" s="3" t="str">
        <f t="shared" si="4"/>
        <v/>
      </c>
      <c r="AA136" s="3" t="str">
        <f t="shared" si="5"/>
        <v/>
      </c>
    </row>
    <row r="137" spans="1:27" hidden="1">
      <c r="A137" s="8">
        <v>3</v>
      </c>
      <c r="B137" t="s">
        <v>351</v>
      </c>
      <c r="C137" s="8">
        <v>42797.597002314818</v>
      </c>
      <c r="D137" s="8" t="s">
        <v>88</v>
      </c>
      <c r="E137" s="3">
        <v>825</v>
      </c>
      <c r="F137" s="3" t="s">
        <v>513</v>
      </c>
      <c r="G137" s="3" t="s">
        <v>105</v>
      </c>
      <c r="H137" s="27" t="s">
        <v>553</v>
      </c>
      <c r="U137" s="3" t="str">
        <f t="shared" si="4"/>
        <v/>
      </c>
      <c r="AA137" s="3" t="str">
        <f t="shared" si="5"/>
        <v/>
      </c>
    </row>
    <row r="138" spans="1:27" hidden="1">
      <c r="A138" s="8">
        <v>2</v>
      </c>
      <c r="B138" t="s">
        <v>353</v>
      </c>
      <c r="C138" s="8">
        <v>42797.599317129629</v>
      </c>
      <c r="D138" s="8" t="s">
        <v>88</v>
      </c>
      <c r="E138" s="3">
        <v>915</v>
      </c>
      <c r="F138" s="3" t="s">
        <v>513</v>
      </c>
      <c r="G138" s="3" t="s">
        <v>105</v>
      </c>
      <c r="H138" s="27" t="s">
        <v>554</v>
      </c>
      <c r="U138" s="3" t="str">
        <f t="shared" si="4"/>
        <v/>
      </c>
      <c r="AA138" s="3" t="str">
        <f t="shared" si="5"/>
        <v/>
      </c>
    </row>
    <row r="139" spans="1:27" hidden="1">
      <c r="A139" s="8">
        <v>1</v>
      </c>
      <c r="B139" t="s">
        <v>355</v>
      </c>
      <c r="C139" s="8">
        <v>42797.601261574076</v>
      </c>
      <c r="D139" s="8" t="s">
        <v>88</v>
      </c>
      <c r="E139" s="3">
        <v>739</v>
      </c>
      <c r="F139" s="3" t="s">
        <v>513</v>
      </c>
      <c r="G139" s="3" t="s">
        <v>100</v>
      </c>
      <c r="H139" s="27" t="s">
        <v>555</v>
      </c>
      <c r="U139" s="3" t="str">
        <f t="shared" si="4"/>
        <v/>
      </c>
      <c r="AA139" s="3" t="str">
        <f t="shared" si="5"/>
        <v/>
      </c>
    </row>
    <row r="140" spans="1:27">
      <c r="A140" s="8">
        <v>2</v>
      </c>
      <c r="B140" t="s">
        <v>357</v>
      </c>
      <c r="C140" s="8">
        <v>42797.603136574071</v>
      </c>
      <c r="D140" s="8" t="s">
        <v>88</v>
      </c>
      <c r="E140" s="3">
        <v>237</v>
      </c>
      <c r="G140" s="3" t="s">
        <v>100</v>
      </c>
      <c r="H140" s="27" t="s">
        <v>358</v>
      </c>
      <c r="S140" s="5" t="s">
        <v>574</v>
      </c>
      <c r="U140" s="3" t="str">
        <f t="shared" si="4"/>
        <v/>
      </c>
      <c r="AA140" s="3" t="str">
        <f t="shared" si="5"/>
        <v/>
      </c>
    </row>
    <row r="141" spans="1:27">
      <c r="A141" s="8">
        <v>2</v>
      </c>
      <c r="B141" t="s">
        <v>359</v>
      </c>
      <c r="C141" s="8">
        <v>42797.605023148149</v>
      </c>
      <c r="D141" s="8" t="s">
        <v>88</v>
      </c>
      <c r="E141" s="3">
        <v>243</v>
      </c>
      <c r="G141" s="3" t="s">
        <v>97</v>
      </c>
      <c r="H141" s="27" t="s">
        <v>360</v>
      </c>
      <c r="S141" s="5" t="s">
        <v>574</v>
      </c>
      <c r="U141" s="3" t="str">
        <f t="shared" si="4"/>
        <v/>
      </c>
      <c r="AA141" s="3" t="str">
        <f t="shared" si="5"/>
        <v/>
      </c>
    </row>
    <row r="142" spans="1:27">
      <c r="A142" s="8">
        <v>1</v>
      </c>
      <c r="B142" t="s">
        <v>361</v>
      </c>
      <c r="C142" s="8">
        <v>42797.538171296299</v>
      </c>
      <c r="D142" s="8" t="s">
        <v>162</v>
      </c>
      <c r="E142" s="3">
        <v>542</v>
      </c>
      <c r="H142" s="27" t="s">
        <v>362</v>
      </c>
      <c r="S142" s="5" t="s">
        <v>575</v>
      </c>
      <c r="U142" s="3" t="str">
        <f t="shared" si="4"/>
        <v/>
      </c>
      <c r="AA142" s="3" t="str">
        <f t="shared" si="5"/>
        <v/>
      </c>
    </row>
    <row r="143" spans="1:27">
      <c r="A143" s="8">
        <v>1</v>
      </c>
      <c r="B143" t="s">
        <v>363</v>
      </c>
      <c r="C143" s="8">
        <v>42797.539988425924</v>
      </c>
      <c r="D143" s="8" t="s">
        <v>162</v>
      </c>
      <c r="E143" s="3">
        <v>459</v>
      </c>
      <c r="H143" s="27" t="s">
        <v>364</v>
      </c>
      <c r="S143" s="5" t="s">
        <v>575</v>
      </c>
      <c r="U143" s="3" t="str">
        <f t="shared" si="4"/>
        <v/>
      </c>
      <c r="AA143" s="3" t="str">
        <f t="shared" si="5"/>
        <v/>
      </c>
    </row>
    <row r="144" spans="1:27">
      <c r="A144" s="8">
        <v>1</v>
      </c>
      <c r="B144" t="s">
        <v>365</v>
      </c>
      <c r="C144" s="8">
        <v>42797.541689814818</v>
      </c>
      <c r="D144" s="8" t="s">
        <v>162</v>
      </c>
      <c r="E144" s="3">
        <v>610</v>
      </c>
      <c r="H144" s="27" t="s">
        <v>366</v>
      </c>
      <c r="S144" s="5" t="s">
        <v>575</v>
      </c>
      <c r="U144" s="3" t="str">
        <f t="shared" si="4"/>
        <v/>
      </c>
      <c r="AA144" s="3" t="str">
        <f t="shared" si="5"/>
        <v/>
      </c>
    </row>
    <row r="145" spans="1:27">
      <c r="A145" s="8">
        <v>1</v>
      </c>
      <c r="B145" t="s">
        <v>367</v>
      </c>
      <c r="C145" s="8">
        <v>42797.543506944443</v>
      </c>
      <c r="D145" s="8" t="s">
        <v>162</v>
      </c>
      <c r="E145" s="3">
        <v>388</v>
      </c>
      <c r="H145" s="27" t="s">
        <v>368</v>
      </c>
      <c r="S145" s="5" t="s">
        <v>575</v>
      </c>
      <c r="U145" s="3" t="str">
        <f t="shared" si="4"/>
        <v/>
      </c>
      <c r="AA145" s="3" t="str">
        <f t="shared" si="5"/>
        <v/>
      </c>
    </row>
    <row r="146" spans="1:27">
      <c r="A146" s="8">
        <v>1</v>
      </c>
      <c r="B146" t="s">
        <v>369</v>
      </c>
      <c r="C146" s="35">
        <v>42797.545069444444</v>
      </c>
      <c r="D146" s="8" t="s">
        <v>162</v>
      </c>
      <c r="E146" s="3">
        <v>95</v>
      </c>
      <c r="H146" s="27" t="s">
        <v>370</v>
      </c>
      <c r="S146" s="5" t="s">
        <v>575</v>
      </c>
      <c r="U146" s="3" t="str">
        <f t="shared" si="4"/>
        <v/>
      </c>
      <c r="AA146" s="3" t="str">
        <f t="shared" si="5"/>
        <v/>
      </c>
    </row>
    <row r="147" spans="1:27">
      <c r="A147" s="8">
        <v>1</v>
      </c>
      <c r="B147" t="s">
        <v>371</v>
      </c>
      <c r="C147" s="35">
        <v>42797.546759259261</v>
      </c>
      <c r="D147" s="8" t="s">
        <v>162</v>
      </c>
      <c r="E147" s="3">
        <v>431</v>
      </c>
      <c r="G147" s="3" t="s">
        <v>97</v>
      </c>
      <c r="H147" s="27" t="s">
        <v>372</v>
      </c>
      <c r="S147" s="5" t="s">
        <v>575</v>
      </c>
      <c r="U147" s="3" t="str">
        <f t="shared" si="4"/>
        <v/>
      </c>
      <c r="AA147" s="3" t="str">
        <f t="shared" si="5"/>
        <v/>
      </c>
    </row>
    <row r="148" spans="1:27">
      <c r="A148" s="8">
        <v>1</v>
      </c>
      <c r="B148" t="s">
        <v>373</v>
      </c>
      <c r="C148" s="35">
        <v>42797.548819444448</v>
      </c>
      <c r="D148" s="8" t="s">
        <v>162</v>
      </c>
      <c r="E148" s="3">
        <v>650</v>
      </c>
      <c r="H148" s="27" t="s">
        <v>374</v>
      </c>
      <c r="S148" s="5" t="s">
        <v>575</v>
      </c>
      <c r="U148" s="3" t="str">
        <f t="shared" si="4"/>
        <v/>
      </c>
      <c r="AA148" s="3" t="str">
        <f t="shared" si="5"/>
        <v/>
      </c>
    </row>
    <row r="149" spans="1:27">
      <c r="A149" s="8">
        <v>2</v>
      </c>
      <c r="B149" t="s">
        <v>375</v>
      </c>
      <c r="C149" s="35">
        <v>42797.550949074073</v>
      </c>
      <c r="D149" s="8" t="s">
        <v>162</v>
      </c>
      <c r="E149" s="3">
        <v>642</v>
      </c>
      <c r="H149" s="27" t="s">
        <v>376</v>
      </c>
      <c r="S149" s="5" t="s">
        <v>575</v>
      </c>
      <c r="U149" s="3" t="str">
        <f t="shared" si="4"/>
        <v/>
      </c>
      <c r="AA149" s="3" t="str">
        <f t="shared" si="5"/>
        <v/>
      </c>
    </row>
    <row r="150" spans="1:27" hidden="1">
      <c r="A150" s="8">
        <v>2</v>
      </c>
      <c r="B150" t="s">
        <v>377</v>
      </c>
      <c r="C150" s="35">
        <v>42797.551921296297</v>
      </c>
      <c r="D150" s="8" t="s">
        <v>162</v>
      </c>
      <c r="E150" s="3" t="s">
        <v>110</v>
      </c>
      <c r="H150" s="27"/>
      <c r="U150" s="3" t="str">
        <f t="shared" si="4"/>
        <v/>
      </c>
      <c r="AA150" s="3" t="str">
        <f t="shared" si="5"/>
        <v/>
      </c>
    </row>
    <row r="151" spans="1:27" hidden="1">
      <c r="A151" s="8">
        <v>1</v>
      </c>
      <c r="B151" t="s">
        <v>378</v>
      </c>
      <c r="C151" s="35">
        <v>42797.552812499998</v>
      </c>
      <c r="D151" s="8" t="s">
        <v>162</v>
      </c>
      <c r="E151" s="3" t="s">
        <v>110</v>
      </c>
      <c r="H151" s="27"/>
      <c r="U151" s="3" t="str">
        <f t="shared" si="4"/>
        <v/>
      </c>
      <c r="AA151" s="3" t="str">
        <f t="shared" si="5"/>
        <v/>
      </c>
    </row>
    <row r="152" spans="1:27" hidden="1">
      <c r="A152" s="8">
        <v>1</v>
      </c>
      <c r="B152" t="s">
        <v>379</v>
      </c>
      <c r="C152" s="35">
        <v>42797.553206018521</v>
      </c>
      <c r="D152" s="8" t="s">
        <v>162</v>
      </c>
      <c r="E152" s="3" t="s">
        <v>110</v>
      </c>
      <c r="H152" s="27"/>
      <c r="U152" s="3" t="str">
        <f t="shared" si="4"/>
        <v/>
      </c>
      <c r="AA152" s="3" t="str">
        <f t="shared" si="5"/>
        <v/>
      </c>
    </row>
    <row r="153" spans="1:27">
      <c r="A153" s="8">
        <v>1</v>
      </c>
      <c r="B153" t="s">
        <v>380</v>
      </c>
      <c r="C153" s="35">
        <v>42797.554849537039</v>
      </c>
      <c r="D153" s="8" t="s">
        <v>162</v>
      </c>
      <c r="E153" s="3">
        <v>69</v>
      </c>
      <c r="H153" s="27" t="s">
        <v>381</v>
      </c>
      <c r="S153" s="5" t="s">
        <v>575</v>
      </c>
      <c r="U153" s="3" t="str">
        <f t="shared" si="4"/>
        <v/>
      </c>
      <c r="AA153" s="3" t="str">
        <f t="shared" si="5"/>
        <v/>
      </c>
    </row>
    <row r="154" spans="1:27">
      <c r="A154" s="8">
        <v>1</v>
      </c>
      <c r="B154" t="s">
        <v>382</v>
      </c>
      <c r="C154" s="35">
        <v>42797.556446759256</v>
      </c>
      <c r="D154" s="8" t="s">
        <v>162</v>
      </c>
      <c r="E154" s="3">
        <v>79</v>
      </c>
      <c r="H154" s="27" t="s">
        <v>383</v>
      </c>
      <c r="S154" s="5" t="s">
        <v>575</v>
      </c>
      <c r="U154" s="3" t="str">
        <f t="shared" si="4"/>
        <v/>
      </c>
      <c r="AA154" s="3" t="str">
        <f t="shared" si="5"/>
        <v/>
      </c>
    </row>
    <row r="155" spans="1:27">
      <c r="A155" s="8">
        <v>1</v>
      </c>
      <c r="B155" t="s">
        <v>384</v>
      </c>
      <c r="C155" s="35">
        <v>42797.558645833335</v>
      </c>
      <c r="D155" s="8" t="s">
        <v>162</v>
      </c>
      <c r="E155" s="3">
        <v>219</v>
      </c>
      <c r="F155" s="3">
        <v>506</v>
      </c>
      <c r="G155" s="3" t="s">
        <v>97</v>
      </c>
      <c r="H155" s="27" t="s">
        <v>385</v>
      </c>
      <c r="S155" s="5" t="s">
        <v>575</v>
      </c>
      <c r="U155" s="3" t="str">
        <f t="shared" si="4"/>
        <v/>
      </c>
      <c r="AA155" s="3" t="str">
        <f t="shared" si="5"/>
        <v/>
      </c>
    </row>
    <row r="156" spans="1:27" hidden="1">
      <c r="A156" s="8">
        <v>1</v>
      </c>
      <c r="B156" t="s">
        <v>386</v>
      </c>
      <c r="C156" s="35">
        <v>42797.560011574074</v>
      </c>
      <c r="D156" s="8" t="s">
        <v>162</v>
      </c>
      <c r="E156" s="3">
        <v>287</v>
      </c>
      <c r="F156" s="3" t="s">
        <v>513</v>
      </c>
      <c r="G156" s="3" t="s">
        <v>100</v>
      </c>
      <c r="H156" s="27" t="s">
        <v>556</v>
      </c>
      <c r="U156" s="3" t="str">
        <f t="shared" si="4"/>
        <v/>
      </c>
      <c r="AA156" s="3" t="str">
        <f t="shared" si="5"/>
        <v/>
      </c>
    </row>
    <row r="157" spans="1:27">
      <c r="A157" s="8">
        <v>1</v>
      </c>
      <c r="B157" t="s">
        <v>388</v>
      </c>
      <c r="C157" s="35">
        <v>42797.562824074077</v>
      </c>
      <c r="D157" s="8" t="s">
        <v>162</v>
      </c>
      <c r="E157" s="3">
        <v>430</v>
      </c>
      <c r="F157" s="3">
        <v>1092</v>
      </c>
      <c r="G157" s="3" t="s">
        <v>97</v>
      </c>
      <c r="H157" s="27" t="s">
        <v>389</v>
      </c>
      <c r="S157" s="5" t="s">
        <v>575</v>
      </c>
      <c r="U157" s="3" t="str">
        <f t="shared" si="4"/>
        <v/>
      </c>
      <c r="AA157" s="3" t="str">
        <f t="shared" si="5"/>
        <v/>
      </c>
    </row>
    <row r="158" spans="1:27" hidden="1">
      <c r="A158" s="8">
        <v>2</v>
      </c>
      <c r="B158" t="s">
        <v>390</v>
      </c>
      <c r="C158" s="35">
        <v>42797.564502314817</v>
      </c>
      <c r="D158" s="8" t="s">
        <v>162</v>
      </c>
      <c r="E158" s="3">
        <v>662</v>
      </c>
      <c r="F158" s="3" t="s">
        <v>513</v>
      </c>
      <c r="G158" s="3" t="s">
        <v>100</v>
      </c>
      <c r="H158" s="27" t="s">
        <v>557</v>
      </c>
      <c r="U158" s="3" t="str">
        <f t="shared" si="4"/>
        <v/>
      </c>
      <c r="AA158" s="3" t="str">
        <f t="shared" si="5"/>
        <v/>
      </c>
    </row>
    <row r="159" spans="1:27">
      <c r="A159" s="8">
        <v>2</v>
      </c>
      <c r="B159" t="s">
        <v>392</v>
      </c>
      <c r="C159" s="35">
        <v>42797.566770833335</v>
      </c>
      <c r="D159" s="8" t="s">
        <v>162</v>
      </c>
      <c r="E159" s="3">
        <v>109</v>
      </c>
      <c r="F159" s="3">
        <v>308</v>
      </c>
      <c r="G159" s="3" t="s">
        <v>97</v>
      </c>
      <c r="H159" s="27" t="s">
        <v>393</v>
      </c>
      <c r="S159" s="5" t="s">
        <v>575</v>
      </c>
      <c r="U159" s="3" t="str">
        <f t="shared" si="4"/>
        <v/>
      </c>
      <c r="AA159" s="3" t="str">
        <f t="shared" si="5"/>
        <v/>
      </c>
    </row>
    <row r="160" spans="1:27" hidden="1">
      <c r="A160" s="8">
        <v>2</v>
      </c>
      <c r="B160" t="s">
        <v>394</v>
      </c>
      <c r="C160" s="35">
        <v>42797.553148148145</v>
      </c>
      <c r="D160" s="8" t="s">
        <v>194</v>
      </c>
      <c r="E160" s="3">
        <v>199</v>
      </c>
      <c r="F160" s="3" t="s">
        <v>513</v>
      </c>
      <c r="G160" s="3" t="s">
        <v>100</v>
      </c>
      <c r="H160" s="27" t="s">
        <v>558</v>
      </c>
      <c r="U160" s="3" t="str">
        <f t="shared" si="4"/>
        <v/>
      </c>
      <c r="AA160" s="3" t="str">
        <f t="shared" si="5"/>
        <v/>
      </c>
    </row>
    <row r="161" spans="1:27">
      <c r="A161" s="8">
        <v>2</v>
      </c>
      <c r="B161" t="s">
        <v>396</v>
      </c>
      <c r="C161" s="35">
        <v>42797.555208333331</v>
      </c>
      <c r="D161" s="8" t="s">
        <v>194</v>
      </c>
      <c r="E161" s="3">
        <v>559</v>
      </c>
      <c r="G161" s="3" t="s">
        <v>97</v>
      </c>
      <c r="H161" s="27" t="s">
        <v>397</v>
      </c>
      <c r="S161" s="5" t="s">
        <v>575</v>
      </c>
      <c r="U161" s="3" t="str">
        <f t="shared" si="4"/>
        <v/>
      </c>
      <c r="AA161" s="3" t="str">
        <f t="shared" si="5"/>
        <v/>
      </c>
    </row>
    <row r="162" spans="1:27">
      <c r="A162" s="8">
        <v>1</v>
      </c>
      <c r="B162" t="s">
        <v>398</v>
      </c>
      <c r="C162" s="35">
        <v>42797.557488425926</v>
      </c>
      <c r="D162" s="8" t="s">
        <v>194</v>
      </c>
      <c r="E162" s="3">
        <v>300</v>
      </c>
      <c r="F162" s="3">
        <v>398</v>
      </c>
      <c r="G162" s="3" t="s">
        <v>97</v>
      </c>
      <c r="H162" s="27" t="s">
        <v>399</v>
      </c>
      <c r="S162" s="5" t="s">
        <v>575</v>
      </c>
      <c r="U162" s="3" t="str">
        <f t="shared" si="4"/>
        <v/>
      </c>
      <c r="AA162" s="3" t="str">
        <f t="shared" si="5"/>
        <v/>
      </c>
    </row>
    <row r="163" spans="1:27" hidden="1">
      <c r="A163" s="8">
        <v>3</v>
      </c>
      <c r="B163" t="s">
        <v>400</v>
      </c>
      <c r="C163" s="35">
        <v>42797.560798611114</v>
      </c>
      <c r="D163" s="8" t="s">
        <v>194</v>
      </c>
      <c r="E163" s="3">
        <v>98</v>
      </c>
      <c r="F163" s="3" t="s">
        <v>513</v>
      </c>
      <c r="G163" s="3" t="s">
        <v>100</v>
      </c>
      <c r="H163" s="27" t="s">
        <v>559</v>
      </c>
      <c r="U163" s="3" t="str">
        <f t="shared" si="4"/>
        <v/>
      </c>
      <c r="AA163" s="3" t="str">
        <f t="shared" si="5"/>
        <v/>
      </c>
    </row>
    <row r="164" spans="1:27">
      <c r="A164" s="8">
        <v>1</v>
      </c>
      <c r="B164" t="s">
        <v>402</v>
      </c>
      <c r="C164" s="35">
        <v>42797.564664351848</v>
      </c>
      <c r="D164" s="8" t="s">
        <v>194</v>
      </c>
      <c r="E164" s="3">
        <v>391</v>
      </c>
      <c r="G164" s="3" t="s">
        <v>100</v>
      </c>
      <c r="H164" s="27" t="s">
        <v>403</v>
      </c>
      <c r="S164" s="5" t="s">
        <v>575</v>
      </c>
      <c r="U164" s="3" t="str">
        <f t="shared" si="4"/>
        <v/>
      </c>
      <c r="AA164" s="3" t="str">
        <f t="shared" si="5"/>
        <v/>
      </c>
    </row>
    <row r="165" spans="1:27">
      <c r="A165" s="8">
        <v>1</v>
      </c>
      <c r="B165" t="s">
        <v>404</v>
      </c>
      <c r="C165" s="35">
        <v>42797.573078703703</v>
      </c>
      <c r="D165" s="8" t="s">
        <v>194</v>
      </c>
      <c r="E165" s="3">
        <v>420</v>
      </c>
      <c r="F165" s="3">
        <v>570</v>
      </c>
      <c r="G165" s="3" t="s">
        <v>97</v>
      </c>
      <c r="H165" s="27" t="s">
        <v>405</v>
      </c>
      <c r="S165" s="5" t="s">
        <v>575</v>
      </c>
      <c r="U165" s="3" t="str">
        <f t="shared" si="4"/>
        <v/>
      </c>
      <c r="AA165" s="3" t="str">
        <f t="shared" si="5"/>
        <v/>
      </c>
    </row>
    <row r="166" spans="1:27" hidden="1">
      <c r="A166" s="8">
        <v>1</v>
      </c>
      <c r="B166" t="s">
        <v>406</v>
      </c>
      <c r="C166" s="35">
        <v>42797.57540509259</v>
      </c>
      <c r="D166" s="8" t="s">
        <v>194</v>
      </c>
      <c r="E166" s="3">
        <v>150</v>
      </c>
      <c r="F166" s="3" t="s">
        <v>513</v>
      </c>
      <c r="G166" s="3" t="s">
        <v>105</v>
      </c>
      <c r="H166" s="27" t="s">
        <v>560</v>
      </c>
      <c r="U166" s="3" t="str">
        <f t="shared" si="4"/>
        <v/>
      </c>
      <c r="AA166" s="3" t="str">
        <f t="shared" si="5"/>
        <v/>
      </c>
    </row>
    <row r="167" spans="1:27">
      <c r="A167" s="8">
        <v>1</v>
      </c>
      <c r="B167" t="s">
        <v>408</v>
      </c>
      <c r="C167" s="35">
        <v>42797.577789351853</v>
      </c>
      <c r="D167" s="8" t="s">
        <v>194</v>
      </c>
      <c r="E167" s="3">
        <v>46</v>
      </c>
      <c r="H167" s="27" t="s">
        <v>409</v>
      </c>
      <c r="S167" s="5" t="s">
        <v>575</v>
      </c>
      <c r="U167" s="3" t="str">
        <f t="shared" si="4"/>
        <v/>
      </c>
      <c r="AA167" s="3" t="str">
        <f t="shared" si="5"/>
        <v/>
      </c>
    </row>
    <row r="168" spans="1:27">
      <c r="A168" s="8">
        <v>1</v>
      </c>
      <c r="B168" t="s">
        <v>410</v>
      </c>
      <c r="C168" s="35">
        <v>42797.58011574074</v>
      </c>
      <c r="D168" s="8" t="s">
        <v>194</v>
      </c>
      <c r="E168" s="3">
        <v>488</v>
      </c>
      <c r="G168" s="3" t="s">
        <v>97</v>
      </c>
      <c r="H168" s="27" t="s">
        <v>411</v>
      </c>
      <c r="S168" s="5" t="s">
        <v>575</v>
      </c>
      <c r="U168" s="3" t="str">
        <f t="shared" si="4"/>
        <v/>
      </c>
      <c r="AA168" s="3" t="str">
        <f t="shared" si="5"/>
        <v/>
      </c>
    </row>
    <row r="169" spans="1:27">
      <c r="A169" s="8">
        <v>1</v>
      </c>
      <c r="B169" t="s">
        <v>412</v>
      </c>
      <c r="C169" s="35">
        <v>42797.582488425927</v>
      </c>
      <c r="D169" s="8" t="s">
        <v>194</v>
      </c>
      <c r="E169" s="3">
        <v>76</v>
      </c>
      <c r="H169" s="27" t="s">
        <v>413</v>
      </c>
      <c r="S169" s="5" t="s">
        <v>575</v>
      </c>
      <c r="U169" s="3" t="str">
        <f t="shared" si="4"/>
        <v/>
      </c>
      <c r="AA169" s="3" t="str">
        <f t="shared" si="5"/>
        <v/>
      </c>
    </row>
    <row r="170" spans="1:27">
      <c r="A170" s="8">
        <v>1</v>
      </c>
      <c r="B170" t="s">
        <v>414</v>
      </c>
      <c r="C170" s="35">
        <v>42797.584409722222</v>
      </c>
      <c r="D170" s="8" t="s">
        <v>194</v>
      </c>
      <c r="E170" s="3">
        <v>137</v>
      </c>
      <c r="H170" s="27" t="s">
        <v>415</v>
      </c>
      <c r="S170" s="5" t="s">
        <v>575</v>
      </c>
      <c r="U170" s="3" t="str">
        <f t="shared" si="4"/>
        <v/>
      </c>
      <c r="AA170" s="3" t="str">
        <f t="shared" si="5"/>
        <v/>
      </c>
    </row>
    <row r="171" spans="1:27" hidden="1">
      <c r="A171" s="8">
        <v>2</v>
      </c>
      <c r="B171" t="s">
        <v>416</v>
      </c>
      <c r="C171" s="35">
        <v>42797.586655092593</v>
      </c>
      <c r="D171" s="8" t="s">
        <v>194</v>
      </c>
      <c r="E171" s="3" t="s">
        <v>110</v>
      </c>
      <c r="H171" s="27"/>
      <c r="U171" s="3" t="str">
        <f t="shared" si="4"/>
        <v/>
      </c>
      <c r="AA171" s="3" t="str">
        <f t="shared" si="5"/>
        <v/>
      </c>
    </row>
    <row r="172" spans="1:27" hidden="1">
      <c r="A172" s="8">
        <v>2</v>
      </c>
      <c r="B172" t="s">
        <v>417</v>
      </c>
      <c r="C172" s="35">
        <v>42797.588414351849</v>
      </c>
      <c r="D172" s="8" t="s">
        <v>194</v>
      </c>
      <c r="E172" s="3" t="s">
        <v>110</v>
      </c>
      <c r="H172" s="27"/>
      <c r="U172" s="3" t="str">
        <f t="shared" si="4"/>
        <v/>
      </c>
      <c r="AA172" s="3" t="str">
        <f t="shared" si="5"/>
        <v/>
      </c>
    </row>
    <row r="173" spans="1:27">
      <c r="A173" s="8">
        <v>1</v>
      </c>
      <c r="B173" t="s">
        <v>418</v>
      </c>
      <c r="C173" s="35">
        <v>42797.590312499997</v>
      </c>
      <c r="D173" s="8" t="s">
        <v>194</v>
      </c>
      <c r="E173" s="3">
        <v>23</v>
      </c>
      <c r="H173" s="27" t="s">
        <v>419</v>
      </c>
      <c r="S173" s="5" t="s">
        <v>575</v>
      </c>
      <c r="U173" s="3" t="str">
        <f t="shared" si="4"/>
        <v/>
      </c>
      <c r="AA173" s="3" t="str">
        <f t="shared" si="5"/>
        <v/>
      </c>
    </row>
    <row r="174" spans="1:27" hidden="1">
      <c r="A174" s="8">
        <v>1</v>
      </c>
      <c r="B174" t="s">
        <v>420</v>
      </c>
      <c r="C174" s="35">
        <v>42797.591678240744</v>
      </c>
      <c r="D174" s="8" t="s">
        <v>194</v>
      </c>
      <c r="E174" s="3" t="s">
        <v>110</v>
      </c>
      <c r="H174" s="27"/>
      <c r="U174" s="3" t="str">
        <f t="shared" si="4"/>
        <v/>
      </c>
      <c r="AA174" s="3" t="str">
        <f t="shared" si="5"/>
        <v/>
      </c>
    </row>
    <row r="175" spans="1:27" hidden="1">
      <c r="A175" s="8">
        <v>1</v>
      </c>
      <c r="B175" t="s">
        <v>421</v>
      </c>
      <c r="C175" s="35">
        <v>42797.592430555553</v>
      </c>
      <c r="D175" s="8" t="s">
        <v>194</v>
      </c>
      <c r="E175" s="3" t="s">
        <v>110</v>
      </c>
      <c r="H175" s="27"/>
      <c r="U175" s="3" t="str">
        <f t="shared" si="4"/>
        <v/>
      </c>
      <c r="AA175" s="3" t="str">
        <f t="shared" si="5"/>
        <v/>
      </c>
    </row>
    <row r="176" spans="1:27">
      <c r="A176" s="8">
        <v>1</v>
      </c>
      <c r="B176" t="s">
        <v>422</v>
      </c>
      <c r="C176" s="35">
        <v>42797.603483796294</v>
      </c>
      <c r="D176" s="8" t="s">
        <v>229</v>
      </c>
      <c r="E176" s="3">
        <v>94</v>
      </c>
      <c r="H176" s="27" t="s">
        <v>423</v>
      </c>
      <c r="S176" s="5" t="s">
        <v>575</v>
      </c>
      <c r="U176" s="3" t="str">
        <f t="shared" si="4"/>
        <v/>
      </c>
      <c r="AA176" s="3" t="str">
        <f t="shared" si="5"/>
        <v/>
      </c>
    </row>
    <row r="177" spans="1:27">
      <c r="A177" s="8">
        <v>1</v>
      </c>
      <c r="B177" t="s">
        <v>424</v>
      </c>
      <c r="C177" s="35">
        <v>42797.608043981483</v>
      </c>
      <c r="D177" s="8" t="s">
        <v>229</v>
      </c>
      <c r="E177" s="3">
        <v>22</v>
      </c>
      <c r="H177" s="27" t="s">
        <v>425</v>
      </c>
      <c r="S177" s="5" t="s">
        <v>576</v>
      </c>
      <c r="U177" s="3" t="str">
        <f t="shared" si="4"/>
        <v/>
      </c>
      <c r="AA177" s="3" t="str">
        <f t="shared" si="5"/>
        <v/>
      </c>
    </row>
    <row r="178" spans="1:27" hidden="1">
      <c r="A178" s="8">
        <v>1</v>
      </c>
      <c r="B178" t="s">
        <v>426</v>
      </c>
      <c r="C178" s="35">
        <v>42797.610648148147</v>
      </c>
      <c r="D178" s="8" t="s">
        <v>229</v>
      </c>
      <c r="E178" s="3" t="s">
        <v>110</v>
      </c>
      <c r="H178" s="27"/>
      <c r="U178" s="3" t="str">
        <f t="shared" si="4"/>
        <v/>
      </c>
      <c r="AA178" s="3" t="str">
        <f t="shared" si="5"/>
        <v/>
      </c>
    </row>
    <row r="179" spans="1:27">
      <c r="A179" s="8">
        <v>6</v>
      </c>
      <c r="B179" t="s">
        <v>427</v>
      </c>
      <c r="C179" s="35">
        <v>42797.614999999998</v>
      </c>
      <c r="D179" s="8" t="s">
        <v>229</v>
      </c>
      <c r="E179" s="3">
        <v>877</v>
      </c>
      <c r="F179" s="3">
        <v>2252</v>
      </c>
      <c r="G179" s="3" t="s">
        <v>105</v>
      </c>
      <c r="H179" s="27" t="s">
        <v>428</v>
      </c>
      <c r="S179" s="5" t="s">
        <v>576</v>
      </c>
      <c r="U179" s="3" t="str">
        <f t="shared" si="4"/>
        <v/>
      </c>
      <c r="AA179" s="3" t="str">
        <f t="shared" si="5"/>
        <v/>
      </c>
    </row>
    <row r="180" spans="1:27" hidden="1">
      <c r="A180" s="8">
        <v>1</v>
      </c>
      <c r="B180" t="s">
        <v>429</v>
      </c>
      <c r="C180" s="35">
        <v>42797.617268518516</v>
      </c>
      <c r="D180" s="8" t="s">
        <v>229</v>
      </c>
      <c r="E180" s="3">
        <v>877</v>
      </c>
      <c r="F180" s="3" t="s">
        <v>513</v>
      </c>
      <c r="G180" s="3" t="s">
        <v>105</v>
      </c>
      <c r="H180" s="27" t="s">
        <v>561</v>
      </c>
      <c r="U180" s="3" t="str">
        <f t="shared" si="4"/>
        <v/>
      </c>
      <c r="AA180" s="3" t="str">
        <f t="shared" si="5"/>
        <v/>
      </c>
    </row>
    <row r="181" spans="1:27" hidden="1">
      <c r="A181" s="8">
        <v>2</v>
      </c>
      <c r="B181" t="s">
        <v>431</v>
      </c>
      <c r="C181" s="35">
        <v>42797.635625000003</v>
      </c>
      <c r="D181" s="8" t="s">
        <v>229</v>
      </c>
      <c r="E181" s="3">
        <v>450</v>
      </c>
      <c r="F181" s="3" t="s">
        <v>513</v>
      </c>
      <c r="G181" s="3" t="s">
        <v>100</v>
      </c>
      <c r="H181" s="27" t="s">
        <v>562</v>
      </c>
      <c r="U181" s="3" t="str">
        <f t="shared" si="4"/>
        <v/>
      </c>
      <c r="AA181" s="3" t="str">
        <f t="shared" si="5"/>
        <v/>
      </c>
    </row>
    <row r="182" spans="1:27">
      <c r="A182" s="8">
        <v>2</v>
      </c>
      <c r="B182" t="s">
        <v>433</v>
      </c>
      <c r="C182" s="35">
        <v>42797.640173611115</v>
      </c>
      <c r="D182" s="8" t="s">
        <v>229</v>
      </c>
      <c r="E182" s="3">
        <v>423</v>
      </c>
      <c r="H182" s="27" t="s">
        <v>434</v>
      </c>
      <c r="S182" s="5" t="s">
        <v>576</v>
      </c>
      <c r="U182" s="3" t="str">
        <f t="shared" si="4"/>
        <v/>
      </c>
      <c r="AA182" s="3" t="str">
        <f t="shared" si="5"/>
        <v/>
      </c>
    </row>
    <row r="183" spans="1:27">
      <c r="A183" s="8">
        <v>1</v>
      </c>
      <c r="B183" t="s">
        <v>435</v>
      </c>
      <c r="C183" s="35">
        <v>42797.615729166668</v>
      </c>
      <c r="D183" s="8" t="s">
        <v>194</v>
      </c>
      <c r="E183" s="3">
        <v>507</v>
      </c>
      <c r="G183" s="3" t="s">
        <v>436</v>
      </c>
      <c r="H183" s="27" t="s">
        <v>437</v>
      </c>
      <c r="S183" s="5" t="s">
        <v>576</v>
      </c>
      <c r="U183" s="3" t="str">
        <f t="shared" si="4"/>
        <v/>
      </c>
      <c r="AA183" s="3" t="str">
        <f t="shared" si="5"/>
        <v/>
      </c>
    </row>
    <row r="184" spans="1:27" hidden="1">
      <c r="A184" s="8">
        <v>1</v>
      </c>
      <c r="B184" t="s">
        <v>438</v>
      </c>
      <c r="C184" s="35">
        <v>42797.605775462966</v>
      </c>
      <c r="D184" s="8" t="s">
        <v>194</v>
      </c>
      <c r="E184" s="3" t="s">
        <v>110</v>
      </c>
      <c r="H184" s="27"/>
      <c r="U184" s="3" t="str">
        <f t="shared" si="4"/>
        <v/>
      </c>
      <c r="AA184" s="3" t="str">
        <f t="shared" si="5"/>
        <v/>
      </c>
    </row>
    <row r="185" spans="1:27">
      <c r="A185" s="8">
        <v>1</v>
      </c>
      <c r="B185" t="s">
        <v>439</v>
      </c>
      <c r="C185" s="35">
        <v>42797.608402777776</v>
      </c>
      <c r="D185" s="8" t="s">
        <v>194</v>
      </c>
      <c r="E185" s="3">
        <v>199</v>
      </c>
      <c r="G185" s="3" t="s">
        <v>100</v>
      </c>
      <c r="H185" s="27" t="s">
        <v>440</v>
      </c>
      <c r="S185" s="5" t="s">
        <v>576</v>
      </c>
      <c r="U185" s="3" t="str">
        <f t="shared" si="4"/>
        <v/>
      </c>
      <c r="AA185" s="3" t="str">
        <f t="shared" si="5"/>
        <v/>
      </c>
    </row>
    <row r="186" spans="1:27">
      <c r="A186" s="8">
        <v>2</v>
      </c>
      <c r="B186" t="s">
        <v>441</v>
      </c>
      <c r="C186" s="35">
        <v>42797.610046296293</v>
      </c>
      <c r="D186" s="8" t="s">
        <v>194</v>
      </c>
      <c r="E186" s="3">
        <v>25</v>
      </c>
      <c r="G186" s="3" t="s">
        <v>97</v>
      </c>
      <c r="H186" s="27" t="s">
        <v>442</v>
      </c>
      <c r="S186" s="5" t="s">
        <v>576</v>
      </c>
      <c r="U186" s="3" t="str">
        <f t="shared" si="4"/>
        <v/>
      </c>
      <c r="AA186" s="3" t="str">
        <f t="shared" si="5"/>
        <v/>
      </c>
    </row>
    <row r="187" spans="1:27">
      <c r="A187" s="8">
        <v>1</v>
      </c>
      <c r="B187" t="s">
        <v>443</v>
      </c>
      <c r="C187" s="35">
        <v>42797.614803240744</v>
      </c>
      <c r="D187" s="8" t="s">
        <v>194</v>
      </c>
      <c r="E187" s="3">
        <v>435</v>
      </c>
      <c r="H187" s="27" t="s">
        <v>444</v>
      </c>
      <c r="S187" s="5" t="s">
        <v>576</v>
      </c>
      <c r="U187" s="3" t="str">
        <f t="shared" si="4"/>
        <v/>
      </c>
      <c r="AA187" s="3" t="str">
        <f t="shared" si="5"/>
        <v/>
      </c>
    </row>
    <row r="188" spans="1:27">
      <c r="A188" s="8">
        <v>1</v>
      </c>
      <c r="B188" t="s">
        <v>445</v>
      </c>
      <c r="C188" s="35">
        <v>42797.627476851849</v>
      </c>
      <c r="D188" s="8" t="s">
        <v>194</v>
      </c>
      <c r="E188" s="3">
        <v>71</v>
      </c>
      <c r="F188" s="3">
        <v>236</v>
      </c>
      <c r="G188" s="3" t="s">
        <v>97</v>
      </c>
      <c r="H188" s="27" t="s">
        <v>446</v>
      </c>
      <c r="S188" s="5" t="s">
        <v>576</v>
      </c>
      <c r="U188" s="3" t="str">
        <f t="shared" si="4"/>
        <v/>
      </c>
      <c r="AA188" s="3" t="str">
        <f t="shared" si="5"/>
        <v/>
      </c>
    </row>
    <row r="189" spans="1:27" hidden="1">
      <c r="A189" s="8">
        <v>1</v>
      </c>
      <c r="B189" t="s">
        <v>447</v>
      </c>
      <c r="C189" s="35">
        <v>42797.629027777781</v>
      </c>
      <c r="D189" s="8" t="s">
        <v>194</v>
      </c>
      <c r="E189" s="3">
        <v>165</v>
      </c>
      <c r="F189" s="3" t="s">
        <v>513</v>
      </c>
      <c r="G189" s="3" t="s">
        <v>105</v>
      </c>
      <c r="H189" s="27" t="s">
        <v>563</v>
      </c>
      <c r="U189" s="3" t="str">
        <f t="shared" si="4"/>
        <v/>
      </c>
      <c r="AA189" s="3" t="str">
        <f t="shared" si="5"/>
        <v/>
      </c>
    </row>
    <row r="190" spans="1:27" hidden="1">
      <c r="A190" s="8">
        <v>1</v>
      </c>
      <c r="B190" t="s">
        <v>449</v>
      </c>
      <c r="C190" s="35">
        <v>42797.630231481482</v>
      </c>
      <c r="D190" s="8" t="s">
        <v>194</v>
      </c>
      <c r="E190" s="3" t="s">
        <v>110</v>
      </c>
      <c r="H190" s="27"/>
      <c r="U190" s="3" t="str">
        <f t="shared" si="4"/>
        <v/>
      </c>
      <c r="AA190" s="3" t="str">
        <f t="shared" si="5"/>
        <v/>
      </c>
    </row>
    <row r="191" spans="1:27">
      <c r="A191" s="8">
        <v>2</v>
      </c>
      <c r="B191" t="s">
        <v>450</v>
      </c>
      <c r="C191" s="35">
        <v>42797.632800925923</v>
      </c>
      <c r="D191" s="8" t="s">
        <v>194</v>
      </c>
      <c r="E191" s="3">
        <v>65</v>
      </c>
      <c r="H191" s="27" t="s">
        <v>451</v>
      </c>
      <c r="S191" s="5" t="s">
        <v>576</v>
      </c>
      <c r="U191" s="3" t="str">
        <f t="shared" si="4"/>
        <v/>
      </c>
      <c r="AA191" s="3" t="str">
        <f t="shared" si="5"/>
        <v/>
      </c>
    </row>
    <row r="192" spans="1:27">
      <c r="A192" s="8">
        <v>1</v>
      </c>
      <c r="B192" t="s">
        <v>452</v>
      </c>
      <c r="C192" s="35">
        <v>42797.635081018518</v>
      </c>
      <c r="D192" s="8" t="s">
        <v>194</v>
      </c>
      <c r="E192" s="3">
        <v>833</v>
      </c>
      <c r="H192" s="27" t="s">
        <v>453</v>
      </c>
      <c r="S192" s="5" t="s">
        <v>576</v>
      </c>
      <c r="U192" s="3" t="str">
        <f t="shared" si="4"/>
        <v/>
      </c>
      <c r="AA192" s="3" t="str">
        <f t="shared" si="5"/>
        <v/>
      </c>
    </row>
    <row r="193" spans="1:27" hidden="1">
      <c r="A193" s="8">
        <v>1</v>
      </c>
      <c r="B193" t="s">
        <v>454</v>
      </c>
      <c r="C193" s="35">
        <v>42797.568912037037</v>
      </c>
      <c r="D193" s="8" t="s">
        <v>162</v>
      </c>
      <c r="E193" s="3" t="s">
        <v>110</v>
      </c>
      <c r="H193" s="27"/>
      <c r="U193" s="3" t="str">
        <f t="shared" si="4"/>
        <v/>
      </c>
      <c r="AA193" s="3" t="str">
        <f t="shared" si="5"/>
        <v/>
      </c>
    </row>
    <row r="194" spans="1:27">
      <c r="A194" s="8">
        <v>2</v>
      </c>
      <c r="B194" t="s">
        <v>455</v>
      </c>
      <c r="C194" s="35">
        <v>42797.571331018517</v>
      </c>
      <c r="D194" s="8" t="s">
        <v>162</v>
      </c>
      <c r="E194" s="3">
        <v>546</v>
      </c>
      <c r="H194" s="27" t="s">
        <v>456</v>
      </c>
      <c r="S194" s="5" t="s">
        <v>576</v>
      </c>
      <c r="U194" s="3" t="str">
        <f t="shared" si="4"/>
        <v/>
      </c>
      <c r="AA194" s="3" t="str">
        <f t="shared" si="5"/>
        <v/>
      </c>
    </row>
    <row r="195" spans="1:27" hidden="1">
      <c r="A195" s="8">
        <v>2</v>
      </c>
      <c r="B195" t="s">
        <v>457</v>
      </c>
      <c r="C195" s="35">
        <v>42797.572175925925</v>
      </c>
      <c r="D195" s="8" t="s">
        <v>162</v>
      </c>
      <c r="E195" s="3" t="s">
        <v>110</v>
      </c>
      <c r="H195" s="27"/>
      <c r="U195" s="3" t="str">
        <f t="shared" si="4"/>
        <v/>
      </c>
      <c r="AA195" s="3" t="str">
        <f t="shared" si="5"/>
        <v/>
      </c>
    </row>
    <row r="196" spans="1:27">
      <c r="A196" s="8">
        <v>3</v>
      </c>
      <c r="B196" t="s">
        <v>458</v>
      </c>
      <c r="C196" s="35">
        <v>42797.573703703703</v>
      </c>
      <c r="D196" s="8" t="s">
        <v>162</v>
      </c>
      <c r="E196" s="3">
        <v>146</v>
      </c>
      <c r="G196" s="3" t="s">
        <v>97</v>
      </c>
      <c r="H196" s="27" t="s">
        <v>459</v>
      </c>
      <c r="S196" s="5" t="s">
        <v>576</v>
      </c>
      <c r="U196" s="3" t="str">
        <f t="shared" si="4"/>
        <v/>
      </c>
      <c r="AA196" s="3" t="str">
        <f t="shared" si="5"/>
        <v/>
      </c>
    </row>
    <row r="197" spans="1:27" hidden="1">
      <c r="A197" s="8">
        <v>3</v>
      </c>
      <c r="B197" t="s">
        <v>460</v>
      </c>
      <c r="C197" s="35">
        <v>42797.574444444443</v>
      </c>
      <c r="D197" s="8" t="s">
        <v>162</v>
      </c>
      <c r="E197" s="3" t="s">
        <v>110</v>
      </c>
      <c r="H197" s="27"/>
      <c r="U197" s="3" t="str">
        <f t="shared" si="4"/>
        <v/>
      </c>
      <c r="AA197" s="3" t="str">
        <f t="shared" si="5"/>
        <v/>
      </c>
    </row>
    <row r="198" spans="1:27">
      <c r="A198" s="8">
        <v>1</v>
      </c>
      <c r="B198" t="s">
        <v>461</v>
      </c>
      <c r="C198" s="8">
        <v>42797.587268518517</v>
      </c>
      <c r="D198" s="8" t="s">
        <v>295</v>
      </c>
      <c r="E198" s="3">
        <v>118</v>
      </c>
      <c r="H198" s="27" t="s">
        <v>462</v>
      </c>
      <c r="S198" s="5" t="s">
        <v>576</v>
      </c>
      <c r="U198" s="3" t="str">
        <f t="shared" ref="U198:U261" si="6">IF(S198="","",IF(T198="","",H198))</f>
        <v/>
      </c>
      <c r="AA198" s="3" t="str">
        <f t="shared" ref="AA198:AA261" si="7">IF(V198="","",IF(X198="","",H198))</f>
        <v/>
      </c>
    </row>
    <row r="199" spans="1:27" hidden="1">
      <c r="A199" s="8">
        <v>1</v>
      </c>
      <c r="B199" t="s">
        <v>463</v>
      </c>
      <c r="C199" s="8">
        <v>42797.589259259257</v>
      </c>
      <c r="D199" s="8" t="s">
        <v>295</v>
      </c>
      <c r="E199" s="3" t="s">
        <v>110</v>
      </c>
      <c r="H199" s="27"/>
      <c r="U199" s="3" t="str">
        <f t="shared" si="6"/>
        <v/>
      </c>
      <c r="AA199" s="3" t="str">
        <f t="shared" si="7"/>
        <v/>
      </c>
    </row>
    <row r="200" spans="1:27" hidden="1">
      <c r="A200" s="8">
        <v>1</v>
      </c>
      <c r="B200" t="s">
        <v>464</v>
      </c>
      <c r="C200" s="8">
        <v>42797.591527777775</v>
      </c>
      <c r="D200" s="8" t="s">
        <v>295</v>
      </c>
      <c r="E200" s="3" t="s">
        <v>110</v>
      </c>
      <c r="H200" s="27"/>
      <c r="U200" s="3" t="str">
        <f t="shared" si="6"/>
        <v/>
      </c>
      <c r="AA200" s="3" t="str">
        <f t="shared" si="7"/>
        <v/>
      </c>
    </row>
    <row r="201" spans="1:27">
      <c r="A201" s="8">
        <v>1</v>
      </c>
      <c r="B201" t="s">
        <v>465</v>
      </c>
      <c r="C201" s="8">
        <v>42797.594155092593</v>
      </c>
      <c r="D201" s="8" t="s">
        <v>295</v>
      </c>
      <c r="E201" s="3">
        <v>120</v>
      </c>
      <c r="F201" s="3">
        <v>773</v>
      </c>
      <c r="G201" s="3" t="s">
        <v>97</v>
      </c>
      <c r="H201" s="27" t="s">
        <v>466</v>
      </c>
      <c r="S201" s="5" t="s">
        <v>576</v>
      </c>
      <c r="U201" s="3" t="str">
        <f t="shared" si="6"/>
        <v/>
      </c>
      <c r="AA201" s="3" t="str">
        <f t="shared" si="7"/>
        <v/>
      </c>
    </row>
    <row r="202" spans="1:27" hidden="1">
      <c r="A202" s="8">
        <v>1</v>
      </c>
      <c r="B202" t="s">
        <v>467</v>
      </c>
      <c r="C202" s="8">
        <v>42797.596504629626</v>
      </c>
      <c r="D202" s="8" t="s">
        <v>295</v>
      </c>
      <c r="E202" s="3">
        <v>653</v>
      </c>
      <c r="F202" s="3" t="s">
        <v>513</v>
      </c>
      <c r="G202" s="3" t="s">
        <v>100</v>
      </c>
      <c r="H202" s="27" t="s">
        <v>564</v>
      </c>
      <c r="U202" s="3" t="str">
        <f t="shared" si="6"/>
        <v/>
      </c>
      <c r="AA202" s="3" t="str">
        <f t="shared" si="7"/>
        <v/>
      </c>
    </row>
    <row r="203" spans="1:27">
      <c r="A203" s="8">
        <v>1</v>
      </c>
      <c r="B203" t="s">
        <v>469</v>
      </c>
      <c r="C203" s="8">
        <v>42797.598900462966</v>
      </c>
      <c r="D203" s="8" t="s">
        <v>295</v>
      </c>
      <c r="E203" s="3">
        <v>382</v>
      </c>
      <c r="G203" s="3" t="s">
        <v>100</v>
      </c>
      <c r="H203" s="27" t="s">
        <v>470</v>
      </c>
      <c r="S203" s="5" t="s">
        <v>576</v>
      </c>
      <c r="U203" s="3" t="str">
        <f t="shared" si="6"/>
        <v/>
      </c>
      <c r="AA203" s="3" t="str">
        <f t="shared" si="7"/>
        <v/>
      </c>
    </row>
    <row r="204" spans="1:27">
      <c r="A204" s="8">
        <v>1</v>
      </c>
      <c r="B204" t="s">
        <v>471</v>
      </c>
      <c r="C204" s="8">
        <v>42797.602118055554</v>
      </c>
      <c r="D204" s="8" t="s">
        <v>295</v>
      </c>
      <c r="E204" s="3">
        <v>156</v>
      </c>
      <c r="H204" s="27" t="s">
        <v>472</v>
      </c>
      <c r="S204" s="5" t="s">
        <v>576</v>
      </c>
      <c r="U204" s="3" t="str">
        <f t="shared" si="6"/>
        <v/>
      </c>
      <c r="AA204" s="3" t="str">
        <f t="shared" si="7"/>
        <v/>
      </c>
    </row>
    <row r="205" spans="1:27" hidden="1">
      <c r="A205" s="8">
        <v>2</v>
      </c>
      <c r="B205" t="s">
        <v>473</v>
      </c>
      <c r="C205" s="8">
        <v>42797.603877314818</v>
      </c>
      <c r="D205" s="8" t="s">
        <v>295</v>
      </c>
      <c r="E205" s="3" t="s">
        <v>110</v>
      </c>
      <c r="H205" s="27"/>
      <c r="U205" s="3" t="str">
        <f t="shared" si="6"/>
        <v/>
      </c>
      <c r="AA205" s="3" t="str">
        <f t="shared" si="7"/>
        <v/>
      </c>
    </row>
    <row r="206" spans="1:27">
      <c r="A206" s="8">
        <v>3</v>
      </c>
      <c r="B206" t="s">
        <v>474</v>
      </c>
      <c r="C206" s="8">
        <v>42797.606446759259</v>
      </c>
      <c r="D206" s="8" t="s">
        <v>295</v>
      </c>
      <c r="E206" s="3">
        <v>817</v>
      </c>
      <c r="F206" s="3">
        <v>2647</v>
      </c>
      <c r="G206" s="3" t="s">
        <v>97</v>
      </c>
      <c r="H206" s="27" t="s">
        <v>475</v>
      </c>
      <c r="S206" s="5" t="s">
        <v>576</v>
      </c>
      <c r="U206" s="3" t="str">
        <f t="shared" si="6"/>
        <v/>
      </c>
      <c r="AA206" s="3" t="str">
        <f t="shared" si="7"/>
        <v/>
      </c>
    </row>
    <row r="207" spans="1:27" hidden="1">
      <c r="A207" s="8">
        <v>3</v>
      </c>
      <c r="B207" t="s">
        <v>476</v>
      </c>
      <c r="C207" s="8">
        <v>42797.577974537038</v>
      </c>
      <c r="D207" s="8" t="s">
        <v>162</v>
      </c>
      <c r="E207" s="3">
        <v>915</v>
      </c>
      <c r="F207" s="3" t="s">
        <v>513</v>
      </c>
      <c r="G207" s="3" t="s">
        <v>105</v>
      </c>
      <c r="H207" s="27" t="s">
        <v>565</v>
      </c>
      <c r="U207" s="3" t="str">
        <f t="shared" si="6"/>
        <v/>
      </c>
      <c r="AA207" s="3" t="str">
        <f t="shared" si="7"/>
        <v/>
      </c>
    </row>
    <row r="208" spans="1:27" hidden="1">
      <c r="A208" s="8">
        <v>2</v>
      </c>
      <c r="B208" t="s">
        <v>478</v>
      </c>
      <c r="C208" s="8">
        <v>42797.580254629633</v>
      </c>
      <c r="D208" s="8" t="s">
        <v>162</v>
      </c>
      <c r="E208" s="3">
        <v>915</v>
      </c>
      <c r="F208" s="3" t="s">
        <v>513</v>
      </c>
      <c r="G208" s="3" t="s">
        <v>100</v>
      </c>
      <c r="H208" s="27" t="s">
        <v>566</v>
      </c>
      <c r="U208" s="3" t="str">
        <f t="shared" si="6"/>
        <v/>
      </c>
      <c r="AA208" s="3" t="str">
        <f t="shared" si="7"/>
        <v/>
      </c>
    </row>
    <row r="209" spans="1:27">
      <c r="A209" s="8">
        <v>1</v>
      </c>
      <c r="B209" t="s">
        <v>480</v>
      </c>
      <c r="C209" s="8">
        <v>42797.58252314815</v>
      </c>
      <c r="D209" s="8" t="s">
        <v>162</v>
      </c>
      <c r="E209" s="3">
        <v>615</v>
      </c>
      <c r="F209" s="3">
        <v>1530</v>
      </c>
      <c r="G209" s="3" t="s">
        <v>97</v>
      </c>
      <c r="H209" s="27" t="s">
        <v>481</v>
      </c>
      <c r="S209" s="5" t="s">
        <v>576</v>
      </c>
      <c r="U209" s="3" t="str">
        <f t="shared" si="6"/>
        <v/>
      </c>
      <c r="AA209" s="3" t="str">
        <f t="shared" si="7"/>
        <v/>
      </c>
    </row>
    <row r="210" spans="1:27" hidden="1">
      <c r="A210" s="8">
        <v>1</v>
      </c>
      <c r="B210" t="s">
        <v>482</v>
      </c>
      <c r="C210" s="8">
        <v>42797.584745370368</v>
      </c>
      <c r="D210" s="8" t="s">
        <v>162</v>
      </c>
      <c r="E210" s="3">
        <v>915</v>
      </c>
      <c r="F210" s="3" t="s">
        <v>513</v>
      </c>
      <c r="G210" s="3" t="s">
        <v>105</v>
      </c>
      <c r="H210" s="27" t="s">
        <v>567</v>
      </c>
      <c r="U210" s="3" t="str">
        <f t="shared" si="6"/>
        <v/>
      </c>
      <c r="AA210" s="3" t="str">
        <f t="shared" si="7"/>
        <v/>
      </c>
    </row>
    <row r="211" spans="1:27">
      <c r="A211" s="8">
        <v>1</v>
      </c>
      <c r="B211" t="s">
        <v>484</v>
      </c>
      <c r="C211" s="8">
        <v>42797.586435185185</v>
      </c>
      <c r="D211" s="8" t="s">
        <v>162</v>
      </c>
      <c r="E211" s="3">
        <v>463</v>
      </c>
      <c r="F211" s="3">
        <v>917</v>
      </c>
      <c r="G211" s="3" t="s">
        <v>97</v>
      </c>
      <c r="H211" s="27" t="s">
        <v>485</v>
      </c>
      <c r="S211" s="5" t="s">
        <v>576</v>
      </c>
      <c r="U211" s="3" t="str">
        <f t="shared" si="6"/>
        <v/>
      </c>
      <c r="AA211" s="3" t="str">
        <f t="shared" si="7"/>
        <v/>
      </c>
    </row>
    <row r="212" spans="1:27" hidden="1">
      <c r="A212" s="8">
        <v>1</v>
      </c>
      <c r="B212" t="s">
        <v>486</v>
      </c>
      <c r="C212" s="8">
        <v>42797.588460648149</v>
      </c>
      <c r="D212" s="8" t="s">
        <v>162</v>
      </c>
      <c r="E212" s="3">
        <v>454</v>
      </c>
      <c r="F212" s="3" t="s">
        <v>513</v>
      </c>
      <c r="G212" s="3" t="s">
        <v>100</v>
      </c>
      <c r="H212" s="27" t="s">
        <v>568</v>
      </c>
      <c r="U212" s="3" t="str">
        <f t="shared" si="6"/>
        <v/>
      </c>
      <c r="AA212" s="3" t="str">
        <f t="shared" si="7"/>
        <v/>
      </c>
    </row>
    <row r="213" spans="1:27" hidden="1">
      <c r="A213" s="8">
        <v>1</v>
      </c>
      <c r="B213" t="s">
        <v>488</v>
      </c>
      <c r="C213" s="8">
        <v>42797.589143518519</v>
      </c>
      <c r="D213" s="8" t="s">
        <v>162</v>
      </c>
      <c r="E213" s="3" t="s">
        <v>110</v>
      </c>
      <c r="H213" s="27"/>
      <c r="U213" s="3" t="str">
        <f t="shared" si="6"/>
        <v/>
      </c>
      <c r="AA213" s="3" t="str">
        <f t="shared" si="7"/>
        <v/>
      </c>
    </row>
    <row r="214" spans="1:27" hidden="1">
      <c r="A214" s="8">
        <v>1</v>
      </c>
      <c r="B214" t="s">
        <v>489</v>
      </c>
      <c r="C214" s="8">
        <v>42797.590266203704</v>
      </c>
      <c r="D214" s="8" t="s">
        <v>162</v>
      </c>
      <c r="E214" s="3" t="s">
        <v>110</v>
      </c>
      <c r="H214" s="27"/>
      <c r="U214" s="3" t="str">
        <f t="shared" si="6"/>
        <v/>
      </c>
      <c r="AA214" s="3" t="str">
        <f t="shared" si="7"/>
        <v/>
      </c>
    </row>
    <row r="215" spans="1:27" hidden="1">
      <c r="A215" s="8">
        <v>2</v>
      </c>
      <c r="B215" t="s">
        <v>490</v>
      </c>
      <c r="C215" s="8">
        <v>42797.59103009259</v>
      </c>
      <c r="D215" s="8" t="s">
        <v>162</v>
      </c>
      <c r="E215" s="3" t="s">
        <v>110</v>
      </c>
      <c r="H215" s="27"/>
      <c r="U215" s="3" t="str">
        <f t="shared" si="6"/>
        <v/>
      </c>
      <c r="AA215" s="3" t="str">
        <f t="shared" si="7"/>
        <v/>
      </c>
    </row>
    <row r="216" spans="1:27">
      <c r="A216" s="8">
        <v>1</v>
      </c>
      <c r="B216" t="s">
        <v>491</v>
      </c>
      <c r="C216" s="8">
        <v>42797.54241898148</v>
      </c>
      <c r="D216" s="8" t="s">
        <v>295</v>
      </c>
      <c r="E216" s="3">
        <v>116</v>
      </c>
      <c r="H216" s="27" t="s">
        <v>492</v>
      </c>
      <c r="S216" s="5" t="s">
        <v>576</v>
      </c>
      <c r="U216" s="3" t="str">
        <f t="shared" si="6"/>
        <v/>
      </c>
      <c r="AA216" s="3" t="str">
        <f t="shared" si="7"/>
        <v/>
      </c>
    </row>
    <row r="217" spans="1:27" hidden="1">
      <c r="A217" s="8">
        <v>1</v>
      </c>
      <c r="B217" t="s">
        <v>493</v>
      </c>
      <c r="C217" s="8">
        <v>42797.543958333335</v>
      </c>
      <c r="D217" s="8" t="s">
        <v>295</v>
      </c>
      <c r="E217" s="3" t="s">
        <v>110</v>
      </c>
      <c r="H217" s="27"/>
      <c r="U217" s="3" t="str">
        <f t="shared" si="6"/>
        <v/>
      </c>
      <c r="AA217" s="3" t="str">
        <f t="shared" si="7"/>
        <v/>
      </c>
    </row>
    <row r="218" spans="1:27" hidden="1">
      <c r="A218" s="8">
        <v>1</v>
      </c>
      <c r="B218" t="s">
        <v>494</v>
      </c>
      <c r="C218" s="8">
        <v>42797.545046296298</v>
      </c>
      <c r="D218" s="8" t="s">
        <v>295</v>
      </c>
      <c r="E218" s="3" t="s">
        <v>110</v>
      </c>
      <c r="H218" s="27"/>
      <c r="U218" s="3" t="str">
        <f t="shared" si="6"/>
        <v/>
      </c>
      <c r="AA218" s="3" t="str">
        <f t="shared" si="7"/>
        <v/>
      </c>
    </row>
    <row r="219" spans="1:27">
      <c r="A219" s="8">
        <v>1</v>
      </c>
      <c r="B219" t="s">
        <v>495</v>
      </c>
      <c r="C219" s="8">
        <v>42797.550949074073</v>
      </c>
      <c r="D219" s="8" t="s">
        <v>295</v>
      </c>
      <c r="E219" s="3">
        <v>233</v>
      </c>
      <c r="H219" s="27" t="s">
        <v>496</v>
      </c>
      <c r="S219" s="5" t="s">
        <v>576</v>
      </c>
      <c r="U219" s="3" t="str">
        <f t="shared" si="6"/>
        <v/>
      </c>
      <c r="AA219" s="3" t="str">
        <f t="shared" si="7"/>
        <v/>
      </c>
    </row>
    <row r="220" spans="1:27">
      <c r="A220" s="8">
        <v>1</v>
      </c>
      <c r="B220" t="s">
        <v>497</v>
      </c>
      <c r="C220" s="8">
        <v>42797.554398148146</v>
      </c>
      <c r="D220" s="8" t="s">
        <v>295</v>
      </c>
      <c r="E220" s="3">
        <v>270</v>
      </c>
      <c r="G220" s="3" t="s">
        <v>97</v>
      </c>
      <c r="H220" s="27" t="s">
        <v>498</v>
      </c>
      <c r="S220" s="5" t="s">
        <v>576</v>
      </c>
      <c r="U220" s="3" t="str">
        <f t="shared" si="6"/>
        <v/>
      </c>
      <c r="AA220" s="3" t="str">
        <f t="shared" si="7"/>
        <v/>
      </c>
    </row>
    <row r="221" spans="1:27">
      <c r="A221" s="8">
        <v>1</v>
      </c>
      <c r="B221" t="s">
        <v>499</v>
      </c>
      <c r="C221" s="8">
        <v>42797.556435185186</v>
      </c>
      <c r="D221" s="8" t="s">
        <v>295</v>
      </c>
      <c r="E221" s="3">
        <v>300</v>
      </c>
      <c r="F221" s="3">
        <v>1215</v>
      </c>
      <c r="G221" s="3" t="s">
        <v>97</v>
      </c>
      <c r="H221" s="27" t="s">
        <v>500</v>
      </c>
      <c r="S221" s="5" t="s">
        <v>576</v>
      </c>
      <c r="U221" s="3" t="str">
        <f t="shared" si="6"/>
        <v/>
      </c>
      <c r="AA221" s="3" t="str">
        <f t="shared" si="7"/>
        <v/>
      </c>
    </row>
    <row r="222" spans="1:27" hidden="1">
      <c r="A222" s="8">
        <v>1</v>
      </c>
      <c r="B222" t="s">
        <v>501</v>
      </c>
      <c r="C222" s="8">
        <v>42797.559212962966</v>
      </c>
      <c r="D222" s="8" t="s">
        <v>295</v>
      </c>
      <c r="E222" s="3">
        <v>915</v>
      </c>
      <c r="F222" s="3" t="s">
        <v>513</v>
      </c>
      <c r="G222" s="3" t="s">
        <v>105</v>
      </c>
      <c r="H222" s="27" t="s">
        <v>569</v>
      </c>
      <c r="U222" s="3" t="str">
        <f t="shared" si="6"/>
        <v/>
      </c>
      <c r="AA222" s="3" t="str">
        <f t="shared" si="7"/>
        <v/>
      </c>
    </row>
    <row r="223" spans="1:27">
      <c r="A223" s="8">
        <v>1</v>
      </c>
      <c r="B223" t="s">
        <v>503</v>
      </c>
      <c r="C223" s="8">
        <v>42797.564328703702</v>
      </c>
      <c r="D223" s="8" t="s">
        <v>295</v>
      </c>
      <c r="E223" s="3">
        <v>152</v>
      </c>
      <c r="H223" s="27" t="s">
        <v>504</v>
      </c>
      <c r="S223" s="5" t="s">
        <v>576</v>
      </c>
      <c r="U223" s="3" t="str">
        <f t="shared" si="6"/>
        <v/>
      </c>
      <c r="AA223" s="3" t="str">
        <f t="shared" si="7"/>
        <v/>
      </c>
    </row>
    <row r="224" spans="1:27">
      <c r="A224" s="8">
        <v>1</v>
      </c>
      <c r="B224" t="s">
        <v>505</v>
      </c>
      <c r="C224" s="8">
        <v>42797.566921296297</v>
      </c>
      <c r="D224" s="8" t="s">
        <v>295</v>
      </c>
      <c r="E224" s="3">
        <v>95</v>
      </c>
      <c r="F224" s="3">
        <v>1208</v>
      </c>
      <c r="G224" s="3" t="s">
        <v>97</v>
      </c>
      <c r="H224" s="27" t="s">
        <v>506</v>
      </c>
      <c r="S224" s="5" t="s">
        <v>576</v>
      </c>
      <c r="U224" s="3" t="str">
        <f t="shared" si="6"/>
        <v/>
      </c>
      <c r="AA224" s="3" t="str">
        <f t="shared" si="7"/>
        <v/>
      </c>
    </row>
    <row r="225" spans="1:27" hidden="1">
      <c r="A225" s="8">
        <v>1</v>
      </c>
      <c r="B225" t="s">
        <v>507</v>
      </c>
      <c r="C225" s="8">
        <v>42797.569155092591</v>
      </c>
      <c r="D225" s="8" t="s">
        <v>295</v>
      </c>
      <c r="E225" s="3">
        <v>750</v>
      </c>
      <c r="F225" s="3" t="s">
        <v>513</v>
      </c>
      <c r="G225" s="3" t="s">
        <v>105</v>
      </c>
      <c r="H225" s="27" t="s">
        <v>570</v>
      </c>
      <c r="U225" s="3" t="str">
        <f t="shared" si="6"/>
        <v/>
      </c>
      <c r="AA225" s="3" t="str">
        <f t="shared" si="7"/>
        <v/>
      </c>
    </row>
    <row r="226" spans="1:27" hidden="1">
      <c r="A226" s="8">
        <v>1</v>
      </c>
      <c r="B226" t="s">
        <v>509</v>
      </c>
      <c r="C226" s="8">
        <v>42797.573275462964</v>
      </c>
      <c r="D226" s="8" t="s">
        <v>295</v>
      </c>
      <c r="E226" s="3">
        <v>363</v>
      </c>
      <c r="F226" s="3" t="s">
        <v>513</v>
      </c>
      <c r="G226" s="3" t="s">
        <v>100</v>
      </c>
      <c r="H226" s="27" t="s">
        <v>571</v>
      </c>
      <c r="U226" s="3" t="str">
        <f t="shared" si="6"/>
        <v/>
      </c>
      <c r="AA226" s="3" t="str">
        <f t="shared" si="7"/>
        <v/>
      </c>
    </row>
    <row r="227" spans="1:27">
      <c r="A227" s="8">
        <v>1</v>
      </c>
      <c r="B227" t="s">
        <v>511</v>
      </c>
      <c r="C227" s="8">
        <v>42797.578379629631</v>
      </c>
      <c r="D227" s="8" t="s">
        <v>295</v>
      </c>
      <c r="E227" s="3">
        <v>531</v>
      </c>
      <c r="H227" s="27" t="s">
        <v>512</v>
      </c>
      <c r="S227" s="5" t="s">
        <v>576</v>
      </c>
      <c r="U227" s="3" t="str">
        <f t="shared" si="6"/>
        <v/>
      </c>
      <c r="AA227" s="3" t="str">
        <f t="shared" si="7"/>
        <v/>
      </c>
    </row>
    <row r="228" spans="1:27">
      <c r="H228" s="27"/>
      <c r="U228" s="3" t="str">
        <f t="shared" si="6"/>
        <v/>
      </c>
      <c r="AA228" s="3" t="str">
        <f t="shared" si="7"/>
        <v/>
      </c>
    </row>
    <row r="229" spans="1:27">
      <c r="H229" s="27"/>
      <c r="U229" s="3" t="str">
        <f t="shared" si="6"/>
        <v/>
      </c>
      <c r="AA229" s="3" t="str">
        <f t="shared" si="7"/>
        <v/>
      </c>
    </row>
    <row r="230" spans="1:27">
      <c r="H230" s="27"/>
      <c r="U230" s="3" t="str">
        <f t="shared" si="6"/>
        <v/>
      </c>
      <c r="AA230" s="3" t="str">
        <f t="shared" si="7"/>
        <v/>
      </c>
    </row>
    <row r="231" spans="1:27">
      <c r="H231" s="27"/>
      <c r="U231" s="3" t="str">
        <f t="shared" si="6"/>
        <v/>
      </c>
      <c r="AA231" s="3" t="str">
        <f t="shared" si="7"/>
        <v/>
      </c>
    </row>
    <row r="232" spans="1:27">
      <c r="H232" s="27"/>
      <c r="U232" s="3" t="str">
        <f t="shared" si="6"/>
        <v/>
      </c>
      <c r="AA232" s="3" t="str">
        <f t="shared" si="7"/>
        <v/>
      </c>
    </row>
    <row r="233" spans="1:27">
      <c r="H233" s="27"/>
      <c r="U233" s="3" t="str">
        <f t="shared" si="6"/>
        <v/>
      </c>
      <c r="AA233" s="3" t="str">
        <f t="shared" si="7"/>
        <v/>
      </c>
    </row>
    <row r="234" spans="1:27">
      <c r="H234" s="27"/>
      <c r="U234" s="3" t="str">
        <f t="shared" si="6"/>
        <v/>
      </c>
      <c r="AA234" s="3" t="str">
        <f t="shared" si="7"/>
        <v/>
      </c>
    </row>
    <row r="235" spans="1:27">
      <c r="H235" s="27"/>
      <c r="U235" s="3" t="str">
        <f t="shared" si="6"/>
        <v/>
      </c>
      <c r="AA235" s="3" t="str">
        <f t="shared" si="7"/>
        <v/>
      </c>
    </row>
    <row r="236" spans="1:27">
      <c r="H236" s="27"/>
      <c r="U236" s="3" t="str">
        <f t="shared" si="6"/>
        <v/>
      </c>
      <c r="AA236" s="3" t="str">
        <f t="shared" si="7"/>
        <v/>
      </c>
    </row>
    <row r="237" spans="1:27">
      <c r="H237" s="27"/>
      <c r="U237" s="3" t="str">
        <f t="shared" si="6"/>
        <v/>
      </c>
      <c r="AA237" s="3" t="str">
        <f t="shared" si="7"/>
        <v/>
      </c>
    </row>
    <row r="238" spans="1:27">
      <c r="H238" s="27"/>
      <c r="U238" s="3" t="str">
        <f t="shared" si="6"/>
        <v/>
      </c>
      <c r="AA238" s="3" t="str">
        <f t="shared" si="7"/>
        <v/>
      </c>
    </row>
    <row r="239" spans="1:27">
      <c r="H239" s="27"/>
      <c r="U239" s="3" t="str">
        <f t="shared" si="6"/>
        <v/>
      </c>
      <c r="AA239" s="3" t="str">
        <f t="shared" si="7"/>
        <v/>
      </c>
    </row>
    <row r="240" spans="1:27">
      <c r="H240" s="27"/>
      <c r="U240" s="3" t="str">
        <f t="shared" si="6"/>
        <v/>
      </c>
      <c r="AA240" s="3" t="str">
        <f t="shared" si="7"/>
        <v/>
      </c>
    </row>
    <row r="241" spans="8:27">
      <c r="H241" s="27"/>
      <c r="U241" s="3" t="str">
        <f t="shared" si="6"/>
        <v/>
      </c>
      <c r="AA241" s="3" t="str">
        <f t="shared" si="7"/>
        <v/>
      </c>
    </row>
    <row r="242" spans="8:27">
      <c r="H242" s="27"/>
      <c r="U242" s="3" t="str">
        <f t="shared" si="6"/>
        <v/>
      </c>
      <c r="AA242" s="3" t="str">
        <f t="shared" si="7"/>
        <v/>
      </c>
    </row>
    <row r="243" spans="8:27">
      <c r="H243" s="27"/>
      <c r="U243" s="3" t="str">
        <f t="shared" si="6"/>
        <v/>
      </c>
      <c r="AA243" s="3" t="str">
        <f t="shared" si="7"/>
        <v/>
      </c>
    </row>
    <row r="244" spans="8:27">
      <c r="H244" s="27"/>
      <c r="U244" s="3" t="str">
        <f t="shared" si="6"/>
        <v/>
      </c>
      <c r="AA244" s="3" t="str">
        <f t="shared" si="7"/>
        <v/>
      </c>
    </row>
    <row r="245" spans="8:27">
      <c r="H245" s="27"/>
      <c r="U245" s="3" t="str">
        <f t="shared" si="6"/>
        <v/>
      </c>
      <c r="AA245" s="3" t="str">
        <f t="shared" si="7"/>
        <v/>
      </c>
    </row>
    <row r="246" spans="8:27">
      <c r="H246" s="27"/>
      <c r="U246" s="3" t="str">
        <f t="shared" si="6"/>
        <v/>
      </c>
      <c r="AA246" s="3" t="str">
        <f t="shared" si="7"/>
        <v/>
      </c>
    </row>
    <row r="247" spans="8:27">
      <c r="H247" s="27"/>
      <c r="U247" s="3" t="str">
        <f t="shared" si="6"/>
        <v/>
      </c>
      <c r="AA247" s="3" t="str">
        <f t="shared" si="7"/>
        <v/>
      </c>
    </row>
    <row r="248" spans="8:27">
      <c r="H248" s="27"/>
      <c r="U248" s="3" t="str">
        <f t="shared" si="6"/>
        <v/>
      </c>
      <c r="AA248" s="3" t="str">
        <f t="shared" si="7"/>
        <v/>
      </c>
    </row>
    <row r="249" spans="8:27">
      <c r="H249" s="27"/>
      <c r="U249" s="3" t="str">
        <f t="shared" si="6"/>
        <v/>
      </c>
      <c r="AA249" s="3" t="str">
        <f t="shared" si="7"/>
        <v/>
      </c>
    </row>
    <row r="250" spans="8:27">
      <c r="H250" s="27"/>
      <c r="U250" s="3" t="str">
        <f t="shared" si="6"/>
        <v/>
      </c>
      <c r="AA250" s="3" t="str">
        <f t="shared" si="7"/>
        <v/>
      </c>
    </row>
    <row r="251" spans="8:27">
      <c r="H251" s="27"/>
      <c r="U251" s="3" t="str">
        <f t="shared" si="6"/>
        <v/>
      </c>
      <c r="AA251" s="3" t="str">
        <f t="shared" si="7"/>
        <v/>
      </c>
    </row>
    <row r="252" spans="8:27">
      <c r="H252" s="27"/>
      <c r="U252" s="3" t="str">
        <f t="shared" si="6"/>
        <v/>
      </c>
      <c r="AA252" s="3" t="str">
        <f t="shared" si="7"/>
        <v/>
      </c>
    </row>
    <row r="253" spans="8:27">
      <c r="H253" s="27"/>
      <c r="U253" s="3" t="str">
        <f t="shared" si="6"/>
        <v/>
      </c>
      <c r="AA253" s="3" t="str">
        <f t="shared" si="7"/>
        <v/>
      </c>
    </row>
    <row r="254" spans="8:27">
      <c r="H254" s="27"/>
      <c r="U254" s="3" t="str">
        <f t="shared" si="6"/>
        <v/>
      </c>
      <c r="AA254" s="3" t="str">
        <f t="shared" si="7"/>
        <v/>
      </c>
    </row>
    <row r="255" spans="8:27">
      <c r="H255" s="27"/>
      <c r="U255" s="3" t="str">
        <f t="shared" si="6"/>
        <v/>
      </c>
      <c r="AA255" s="3" t="str">
        <f t="shared" si="7"/>
        <v/>
      </c>
    </row>
    <row r="256" spans="8:27">
      <c r="H256" s="27"/>
      <c r="U256" s="3" t="str">
        <f t="shared" si="6"/>
        <v/>
      </c>
      <c r="AA256" s="3" t="str">
        <f t="shared" si="7"/>
        <v/>
      </c>
    </row>
    <row r="257" spans="8:27">
      <c r="H257" s="27"/>
      <c r="U257" s="3" t="str">
        <f t="shared" si="6"/>
        <v/>
      </c>
      <c r="AA257" s="3" t="str">
        <f t="shared" si="7"/>
        <v/>
      </c>
    </row>
    <row r="258" spans="8:27">
      <c r="H258" s="27"/>
      <c r="U258" s="3" t="str">
        <f t="shared" si="6"/>
        <v/>
      </c>
      <c r="AA258" s="3" t="str">
        <f t="shared" si="7"/>
        <v/>
      </c>
    </row>
    <row r="259" spans="8:27">
      <c r="H259" s="27"/>
      <c r="U259" s="3" t="str">
        <f t="shared" si="6"/>
        <v/>
      </c>
      <c r="AA259" s="3" t="str">
        <f t="shared" si="7"/>
        <v/>
      </c>
    </row>
    <row r="260" spans="8:27">
      <c r="H260" s="27"/>
      <c r="U260" s="3" t="str">
        <f t="shared" si="6"/>
        <v/>
      </c>
      <c r="AA260" s="3" t="str">
        <f t="shared" si="7"/>
        <v/>
      </c>
    </row>
    <row r="261" spans="8:27">
      <c r="H261" s="27"/>
      <c r="U261" s="3" t="str">
        <f t="shared" si="6"/>
        <v/>
      </c>
      <c r="AA261" s="3" t="str">
        <f t="shared" si="7"/>
        <v/>
      </c>
    </row>
    <row r="262" spans="8:27">
      <c r="H262" s="27"/>
      <c r="U262" s="3" t="str">
        <f t="shared" ref="U262:U325" si="8">IF(S262="","",IF(T262="","",H262))</f>
        <v/>
      </c>
      <c r="AA262" s="3" t="str">
        <f t="shared" ref="AA262:AA325" si="9">IF(V262="","",IF(X262="","",H262))</f>
        <v/>
      </c>
    </row>
    <row r="263" spans="8:27">
      <c r="H263" s="27"/>
      <c r="U263" s="3" t="str">
        <f t="shared" si="8"/>
        <v/>
      </c>
      <c r="AA263" s="3" t="str">
        <f t="shared" si="9"/>
        <v/>
      </c>
    </row>
    <row r="264" spans="8:27">
      <c r="H264" s="27"/>
      <c r="U264" s="3" t="str">
        <f t="shared" si="8"/>
        <v/>
      </c>
      <c r="AA264" s="3" t="str">
        <f t="shared" si="9"/>
        <v/>
      </c>
    </row>
    <row r="265" spans="8:27">
      <c r="H265" s="27"/>
      <c r="U265" s="3" t="str">
        <f t="shared" si="8"/>
        <v/>
      </c>
      <c r="AA265" s="3" t="str">
        <f t="shared" si="9"/>
        <v/>
      </c>
    </row>
    <row r="266" spans="8:27">
      <c r="H266" s="27"/>
      <c r="U266" s="3" t="str">
        <f t="shared" si="8"/>
        <v/>
      </c>
      <c r="AA266" s="3" t="str">
        <f t="shared" si="9"/>
        <v/>
      </c>
    </row>
    <row r="267" spans="8:27">
      <c r="H267" s="27"/>
      <c r="U267" s="3" t="str">
        <f t="shared" si="8"/>
        <v/>
      </c>
      <c r="AA267" s="3" t="str">
        <f t="shared" si="9"/>
        <v/>
      </c>
    </row>
    <row r="268" spans="8:27">
      <c r="H268" s="27"/>
      <c r="U268" s="3" t="str">
        <f t="shared" si="8"/>
        <v/>
      </c>
      <c r="AA268" s="3" t="str">
        <f t="shared" si="9"/>
        <v/>
      </c>
    </row>
    <row r="269" spans="8:27">
      <c r="H269" s="27"/>
      <c r="U269" s="3" t="str">
        <f t="shared" si="8"/>
        <v/>
      </c>
      <c r="AA269" s="3" t="str">
        <f t="shared" si="9"/>
        <v/>
      </c>
    </row>
    <row r="270" spans="8:27">
      <c r="H270" s="27"/>
      <c r="U270" s="3" t="str">
        <f t="shared" si="8"/>
        <v/>
      </c>
      <c r="AA270" s="3" t="str">
        <f t="shared" si="9"/>
        <v/>
      </c>
    </row>
    <row r="271" spans="8:27">
      <c r="H271" s="27"/>
      <c r="U271" s="3" t="str">
        <f t="shared" si="8"/>
        <v/>
      </c>
      <c r="AA271" s="3" t="str">
        <f t="shared" si="9"/>
        <v/>
      </c>
    </row>
    <row r="272" spans="8:27">
      <c r="H272" s="27"/>
      <c r="U272" s="3" t="str">
        <f t="shared" si="8"/>
        <v/>
      </c>
      <c r="AA272" s="3" t="str">
        <f t="shared" si="9"/>
        <v/>
      </c>
    </row>
    <row r="273" spans="8:27">
      <c r="H273" s="27"/>
      <c r="U273" s="3" t="str">
        <f t="shared" si="8"/>
        <v/>
      </c>
      <c r="AA273" s="3" t="str">
        <f t="shared" si="9"/>
        <v/>
      </c>
    </row>
    <row r="274" spans="8:27">
      <c r="H274" s="27"/>
      <c r="U274" s="3" t="str">
        <f t="shared" si="8"/>
        <v/>
      </c>
      <c r="AA274" s="3" t="str">
        <f t="shared" si="9"/>
        <v/>
      </c>
    </row>
    <row r="275" spans="8:27">
      <c r="H275" s="27"/>
      <c r="U275" s="3" t="str">
        <f t="shared" si="8"/>
        <v/>
      </c>
      <c r="AA275" s="3" t="str">
        <f t="shared" si="9"/>
        <v/>
      </c>
    </row>
    <row r="276" spans="8:27">
      <c r="H276" s="27"/>
      <c r="U276" s="3" t="str">
        <f t="shared" si="8"/>
        <v/>
      </c>
      <c r="AA276" s="3" t="str">
        <f t="shared" si="9"/>
        <v/>
      </c>
    </row>
    <row r="277" spans="8:27">
      <c r="H277" s="27"/>
      <c r="U277" s="3" t="str">
        <f t="shared" si="8"/>
        <v/>
      </c>
      <c r="AA277" s="3" t="str">
        <f t="shared" si="9"/>
        <v/>
      </c>
    </row>
    <row r="278" spans="8:27">
      <c r="H278" s="27"/>
      <c r="U278" s="3" t="str">
        <f t="shared" si="8"/>
        <v/>
      </c>
      <c r="AA278" s="3" t="str">
        <f t="shared" si="9"/>
        <v/>
      </c>
    </row>
    <row r="279" spans="8:27">
      <c r="H279" s="27"/>
      <c r="U279" s="3" t="str">
        <f t="shared" si="8"/>
        <v/>
      </c>
      <c r="AA279" s="3" t="str">
        <f t="shared" si="9"/>
        <v/>
      </c>
    </row>
    <row r="280" spans="8:27">
      <c r="H280" s="27"/>
      <c r="U280" s="3" t="str">
        <f t="shared" si="8"/>
        <v/>
      </c>
      <c r="AA280" s="3" t="str">
        <f t="shared" si="9"/>
        <v/>
      </c>
    </row>
    <row r="281" spans="8:27">
      <c r="H281" s="27"/>
      <c r="U281" s="3" t="str">
        <f t="shared" si="8"/>
        <v/>
      </c>
      <c r="AA281" s="3" t="str">
        <f t="shared" si="9"/>
        <v/>
      </c>
    </row>
    <row r="282" spans="8:27">
      <c r="H282" s="27"/>
      <c r="U282" s="3" t="str">
        <f t="shared" si="8"/>
        <v/>
      </c>
      <c r="AA282" s="3" t="str">
        <f t="shared" si="9"/>
        <v/>
      </c>
    </row>
    <row r="283" spans="8:27">
      <c r="H283" s="27"/>
      <c r="U283" s="3" t="str">
        <f t="shared" si="8"/>
        <v/>
      </c>
      <c r="AA283" s="3" t="str">
        <f t="shared" si="9"/>
        <v/>
      </c>
    </row>
    <row r="284" spans="8:27">
      <c r="H284" s="27"/>
      <c r="U284" s="3" t="str">
        <f t="shared" si="8"/>
        <v/>
      </c>
      <c r="AA284" s="3" t="str">
        <f t="shared" si="9"/>
        <v/>
      </c>
    </row>
    <row r="285" spans="8:27">
      <c r="H285" s="27"/>
      <c r="U285" s="3" t="str">
        <f t="shared" si="8"/>
        <v/>
      </c>
      <c r="AA285" s="3" t="str">
        <f t="shared" si="9"/>
        <v/>
      </c>
    </row>
    <row r="286" spans="8:27">
      <c r="H286" s="27"/>
      <c r="U286" s="3" t="str">
        <f t="shared" si="8"/>
        <v/>
      </c>
      <c r="AA286" s="3" t="str">
        <f t="shared" si="9"/>
        <v/>
      </c>
    </row>
    <row r="287" spans="8:27">
      <c r="H287" s="27"/>
      <c r="U287" s="3" t="str">
        <f t="shared" si="8"/>
        <v/>
      </c>
      <c r="AA287" s="3" t="str">
        <f t="shared" si="9"/>
        <v/>
      </c>
    </row>
    <row r="288" spans="8:27">
      <c r="H288" s="27"/>
      <c r="U288" s="3" t="str">
        <f t="shared" si="8"/>
        <v/>
      </c>
      <c r="AA288" s="3" t="str">
        <f t="shared" si="9"/>
        <v/>
      </c>
    </row>
    <row r="289" spans="8:27">
      <c r="H289" s="27"/>
      <c r="U289" s="3" t="str">
        <f t="shared" si="8"/>
        <v/>
      </c>
      <c r="AA289" s="3" t="str">
        <f t="shared" si="9"/>
        <v/>
      </c>
    </row>
    <row r="290" spans="8:27">
      <c r="H290" s="27"/>
      <c r="U290" s="3" t="str">
        <f t="shared" si="8"/>
        <v/>
      </c>
      <c r="AA290" s="3" t="str">
        <f t="shared" si="9"/>
        <v/>
      </c>
    </row>
    <row r="291" spans="8:27">
      <c r="H291" s="27"/>
      <c r="U291" s="3" t="str">
        <f t="shared" si="8"/>
        <v/>
      </c>
      <c r="AA291" s="3" t="str">
        <f t="shared" si="9"/>
        <v/>
      </c>
    </row>
    <row r="292" spans="8:27">
      <c r="H292" s="27"/>
      <c r="U292" s="3" t="str">
        <f t="shared" si="8"/>
        <v/>
      </c>
      <c r="AA292" s="3" t="str">
        <f t="shared" si="9"/>
        <v/>
      </c>
    </row>
    <row r="293" spans="8:27">
      <c r="H293" s="27"/>
      <c r="U293" s="3" t="str">
        <f t="shared" si="8"/>
        <v/>
      </c>
      <c r="AA293" s="3" t="str">
        <f t="shared" si="9"/>
        <v/>
      </c>
    </row>
    <row r="294" spans="8:27">
      <c r="H294" s="27"/>
      <c r="U294" s="3" t="str">
        <f t="shared" si="8"/>
        <v/>
      </c>
      <c r="AA294" s="3" t="str">
        <f t="shared" si="9"/>
        <v/>
      </c>
    </row>
    <row r="295" spans="8:27">
      <c r="H295" s="27"/>
      <c r="U295" s="3" t="str">
        <f t="shared" si="8"/>
        <v/>
      </c>
      <c r="AA295" s="3" t="str">
        <f t="shared" si="9"/>
        <v/>
      </c>
    </row>
    <row r="296" spans="8:27">
      <c r="H296" s="27"/>
      <c r="U296" s="3" t="str">
        <f t="shared" si="8"/>
        <v/>
      </c>
      <c r="AA296" s="3" t="str">
        <f t="shared" si="9"/>
        <v/>
      </c>
    </row>
    <row r="297" spans="8:27">
      <c r="H297" s="27"/>
      <c r="U297" s="3" t="str">
        <f t="shared" si="8"/>
        <v/>
      </c>
      <c r="AA297" s="3" t="str">
        <f t="shared" si="9"/>
        <v/>
      </c>
    </row>
    <row r="298" spans="8:27">
      <c r="H298" s="27"/>
      <c r="U298" s="3" t="str">
        <f t="shared" si="8"/>
        <v/>
      </c>
      <c r="AA298" s="3" t="str">
        <f t="shared" si="9"/>
        <v/>
      </c>
    </row>
    <row r="299" spans="8:27">
      <c r="H299" s="27"/>
      <c r="U299" s="3" t="str">
        <f t="shared" si="8"/>
        <v/>
      </c>
      <c r="AA299" s="3" t="str">
        <f t="shared" si="9"/>
        <v/>
      </c>
    </row>
    <row r="300" spans="8:27">
      <c r="H300" s="27"/>
      <c r="U300" s="3" t="str">
        <f t="shared" si="8"/>
        <v/>
      </c>
      <c r="AA300" s="3" t="str">
        <f t="shared" si="9"/>
        <v/>
      </c>
    </row>
    <row r="301" spans="8:27">
      <c r="H301" s="27"/>
      <c r="U301" s="3" t="str">
        <f t="shared" si="8"/>
        <v/>
      </c>
      <c r="AA301" s="3" t="str">
        <f t="shared" si="9"/>
        <v/>
      </c>
    </row>
    <row r="302" spans="8:27">
      <c r="H302" s="27"/>
      <c r="U302" s="3" t="str">
        <f t="shared" si="8"/>
        <v/>
      </c>
      <c r="AA302" s="3" t="str">
        <f t="shared" si="9"/>
        <v/>
      </c>
    </row>
    <row r="303" spans="8:27">
      <c r="H303" s="27"/>
      <c r="U303" s="3" t="str">
        <f t="shared" si="8"/>
        <v/>
      </c>
      <c r="AA303" s="3" t="str">
        <f t="shared" si="9"/>
        <v/>
      </c>
    </row>
    <row r="304" spans="8:27">
      <c r="H304" s="27"/>
      <c r="U304" s="3" t="str">
        <f t="shared" si="8"/>
        <v/>
      </c>
      <c r="AA304" s="3" t="str">
        <f t="shared" si="9"/>
        <v/>
      </c>
    </row>
    <row r="305" spans="8:27">
      <c r="H305" s="27"/>
      <c r="U305" s="3" t="str">
        <f t="shared" si="8"/>
        <v/>
      </c>
      <c r="AA305" s="3" t="str">
        <f t="shared" si="9"/>
        <v/>
      </c>
    </row>
    <row r="306" spans="8:27">
      <c r="H306" s="27"/>
      <c r="U306" s="3" t="str">
        <f t="shared" si="8"/>
        <v/>
      </c>
      <c r="AA306" s="3" t="str">
        <f t="shared" si="9"/>
        <v/>
      </c>
    </row>
    <row r="307" spans="8:27">
      <c r="H307" s="27"/>
      <c r="U307" s="3" t="str">
        <f t="shared" si="8"/>
        <v/>
      </c>
      <c r="AA307" s="3" t="str">
        <f t="shared" si="9"/>
        <v/>
      </c>
    </row>
    <row r="308" spans="8:27">
      <c r="H308" s="27"/>
      <c r="U308" s="3" t="str">
        <f t="shared" si="8"/>
        <v/>
      </c>
      <c r="AA308" s="3" t="str">
        <f t="shared" si="9"/>
        <v/>
      </c>
    </row>
    <row r="309" spans="8:27">
      <c r="H309" s="27"/>
      <c r="U309" s="3" t="str">
        <f t="shared" si="8"/>
        <v/>
      </c>
      <c r="AA309" s="3" t="str">
        <f t="shared" si="9"/>
        <v/>
      </c>
    </row>
    <row r="310" spans="8:27">
      <c r="H310" s="27"/>
      <c r="U310" s="3" t="str">
        <f t="shared" si="8"/>
        <v/>
      </c>
      <c r="AA310" s="3" t="str">
        <f t="shared" si="9"/>
        <v/>
      </c>
    </row>
    <row r="311" spans="8:27">
      <c r="H311" s="27"/>
      <c r="U311" s="3" t="str">
        <f t="shared" si="8"/>
        <v/>
      </c>
      <c r="AA311" s="3" t="str">
        <f t="shared" si="9"/>
        <v/>
      </c>
    </row>
    <row r="312" spans="8:27">
      <c r="H312" s="27"/>
      <c r="U312" s="3" t="str">
        <f t="shared" si="8"/>
        <v/>
      </c>
      <c r="AA312" s="3" t="str">
        <f t="shared" si="9"/>
        <v/>
      </c>
    </row>
    <row r="313" spans="8:27">
      <c r="H313" s="27"/>
      <c r="U313" s="3" t="str">
        <f t="shared" si="8"/>
        <v/>
      </c>
      <c r="AA313" s="3" t="str">
        <f t="shared" si="9"/>
        <v/>
      </c>
    </row>
    <row r="314" spans="8:27">
      <c r="H314" s="27"/>
      <c r="U314" s="3" t="str">
        <f t="shared" si="8"/>
        <v/>
      </c>
      <c r="AA314" s="3" t="str">
        <f t="shared" si="9"/>
        <v/>
      </c>
    </row>
    <row r="315" spans="8:27">
      <c r="H315" s="27"/>
      <c r="U315" s="3" t="str">
        <f t="shared" si="8"/>
        <v/>
      </c>
      <c r="AA315" s="3" t="str">
        <f t="shared" si="9"/>
        <v/>
      </c>
    </row>
    <row r="316" spans="8:27">
      <c r="H316" s="27"/>
      <c r="U316" s="3" t="str">
        <f t="shared" si="8"/>
        <v/>
      </c>
      <c r="AA316" s="3" t="str">
        <f t="shared" si="9"/>
        <v/>
      </c>
    </row>
    <row r="317" spans="8:27">
      <c r="H317" s="27"/>
      <c r="U317" s="3" t="str">
        <f t="shared" si="8"/>
        <v/>
      </c>
      <c r="AA317" s="3" t="str">
        <f t="shared" si="9"/>
        <v/>
      </c>
    </row>
    <row r="318" spans="8:27">
      <c r="H318" s="27"/>
      <c r="U318" s="3" t="str">
        <f t="shared" si="8"/>
        <v/>
      </c>
      <c r="AA318" s="3" t="str">
        <f t="shared" si="9"/>
        <v/>
      </c>
    </row>
    <row r="319" spans="8:27">
      <c r="H319" s="27"/>
      <c r="U319" s="3" t="str">
        <f t="shared" si="8"/>
        <v/>
      </c>
      <c r="AA319" s="3" t="str">
        <f t="shared" si="9"/>
        <v/>
      </c>
    </row>
    <row r="320" spans="8:27">
      <c r="H320" s="27"/>
      <c r="U320" s="3" t="str">
        <f t="shared" si="8"/>
        <v/>
      </c>
      <c r="AA320" s="3" t="str">
        <f t="shared" si="9"/>
        <v/>
      </c>
    </row>
    <row r="321" spans="8:27">
      <c r="H321" s="27"/>
      <c r="U321" s="3" t="str">
        <f t="shared" si="8"/>
        <v/>
      </c>
      <c r="AA321" s="3" t="str">
        <f t="shared" si="9"/>
        <v/>
      </c>
    </row>
    <row r="322" spans="8:27">
      <c r="H322" s="27"/>
      <c r="U322" s="3" t="str">
        <f t="shared" si="8"/>
        <v/>
      </c>
      <c r="AA322" s="3" t="str">
        <f t="shared" si="9"/>
        <v/>
      </c>
    </row>
    <row r="323" spans="8:27">
      <c r="H323" s="27"/>
      <c r="U323" s="3" t="str">
        <f t="shared" si="8"/>
        <v/>
      </c>
      <c r="AA323" s="3" t="str">
        <f t="shared" si="9"/>
        <v/>
      </c>
    </row>
    <row r="324" spans="8:27">
      <c r="H324" s="27"/>
      <c r="U324" s="3" t="str">
        <f t="shared" si="8"/>
        <v/>
      </c>
      <c r="AA324" s="3" t="str">
        <f t="shared" si="9"/>
        <v/>
      </c>
    </row>
    <row r="325" spans="8:27">
      <c r="H325" s="27"/>
      <c r="U325" s="3" t="str">
        <f t="shared" si="8"/>
        <v/>
      </c>
      <c r="AA325" s="3" t="str">
        <f t="shared" si="9"/>
        <v/>
      </c>
    </row>
    <row r="326" spans="8:27">
      <c r="H326" s="27"/>
      <c r="U326" s="3" t="str">
        <f t="shared" ref="U326:U389" si="10">IF(S326="","",IF(T326="","",H326))</f>
        <v/>
      </c>
      <c r="AA326" s="3" t="str">
        <f t="shared" ref="AA326:AA389" si="11">IF(V326="","",IF(X326="","",H326))</f>
        <v/>
      </c>
    </row>
    <row r="327" spans="8:27">
      <c r="H327" s="27"/>
      <c r="U327" s="3" t="str">
        <f t="shared" si="10"/>
        <v/>
      </c>
      <c r="AA327" s="3" t="str">
        <f t="shared" si="11"/>
        <v/>
      </c>
    </row>
    <row r="328" spans="8:27">
      <c r="H328" s="27"/>
      <c r="U328" s="3" t="str">
        <f t="shared" si="10"/>
        <v/>
      </c>
      <c r="AA328" s="3" t="str">
        <f t="shared" si="11"/>
        <v/>
      </c>
    </row>
    <row r="329" spans="8:27">
      <c r="H329" s="27"/>
      <c r="U329" s="3" t="str">
        <f t="shared" si="10"/>
        <v/>
      </c>
      <c r="AA329" s="3" t="str">
        <f t="shared" si="11"/>
        <v/>
      </c>
    </row>
    <row r="330" spans="8:27">
      <c r="H330" s="27"/>
      <c r="U330" s="3" t="str">
        <f t="shared" si="10"/>
        <v/>
      </c>
      <c r="AA330" s="3" t="str">
        <f t="shared" si="11"/>
        <v/>
      </c>
    </row>
    <row r="331" spans="8:27">
      <c r="H331" s="27"/>
      <c r="U331" s="3" t="str">
        <f t="shared" si="10"/>
        <v/>
      </c>
      <c r="AA331" s="3" t="str">
        <f t="shared" si="11"/>
        <v/>
      </c>
    </row>
    <row r="332" spans="8:27">
      <c r="H332" s="27"/>
      <c r="U332" s="3" t="str">
        <f t="shared" si="10"/>
        <v/>
      </c>
      <c r="AA332" s="3" t="str">
        <f t="shared" si="11"/>
        <v/>
      </c>
    </row>
    <row r="333" spans="8:27">
      <c r="H333" s="27"/>
      <c r="U333" s="3" t="str">
        <f t="shared" si="10"/>
        <v/>
      </c>
      <c r="AA333" s="3" t="str">
        <f t="shared" si="11"/>
        <v/>
      </c>
    </row>
    <row r="334" spans="8:27">
      <c r="H334" s="27"/>
      <c r="U334" s="3" t="str">
        <f t="shared" si="10"/>
        <v/>
      </c>
      <c r="AA334" s="3" t="str">
        <f t="shared" si="11"/>
        <v/>
      </c>
    </row>
    <row r="335" spans="8:27">
      <c r="H335" s="27"/>
      <c r="U335" s="3" t="str">
        <f t="shared" si="10"/>
        <v/>
      </c>
      <c r="AA335" s="3" t="str">
        <f t="shared" si="11"/>
        <v/>
      </c>
    </row>
    <row r="336" spans="8:27">
      <c r="H336" s="27"/>
      <c r="U336" s="3" t="str">
        <f t="shared" si="10"/>
        <v/>
      </c>
      <c r="AA336" s="3" t="str">
        <f t="shared" si="11"/>
        <v/>
      </c>
    </row>
    <row r="337" spans="8:27">
      <c r="H337" s="27"/>
      <c r="U337" s="3" t="str">
        <f t="shared" si="10"/>
        <v/>
      </c>
      <c r="AA337" s="3" t="str">
        <f t="shared" si="11"/>
        <v/>
      </c>
    </row>
    <row r="338" spans="8:27">
      <c r="H338" s="27"/>
      <c r="U338" s="3" t="str">
        <f t="shared" si="10"/>
        <v/>
      </c>
      <c r="AA338" s="3" t="str">
        <f t="shared" si="11"/>
        <v/>
      </c>
    </row>
    <row r="339" spans="8:27">
      <c r="H339" s="27"/>
      <c r="U339" s="3" t="str">
        <f t="shared" si="10"/>
        <v/>
      </c>
      <c r="AA339" s="3" t="str">
        <f t="shared" si="11"/>
        <v/>
      </c>
    </row>
    <row r="340" spans="8:27">
      <c r="H340" s="27"/>
      <c r="U340" s="3" t="str">
        <f t="shared" si="10"/>
        <v/>
      </c>
      <c r="AA340" s="3" t="str">
        <f t="shared" si="11"/>
        <v/>
      </c>
    </row>
    <row r="341" spans="8:27">
      <c r="H341" s="27"/>
      <c r="U341" s="3" t="str">
        <f t="shared" si="10"/>
        <v/>
      </c>
      <c r="AA341" s="3" t="str">
        <f t="shared" si="11"/>
        <v/>
      </c>
    </row>
    <row r="342" spans="8:27">
      <c r="H342" s="27"/>
      <c r="U342" s="3" t="str">
        <f t="shared" si="10"/>
        <v/>
      </c>
      <c r="AA342" s="3" t="str">
        <f t="shared" si="11"/>
        <v/>
      </c>
    </row>
    <row r="343" spans="8:27">
      <c r="H343" s="27"/>
      <c r="U343" s="3" t="str">
        <f t="shared" si="10"/>
        <v/>
      </c>
      <c r="AA343" s="3" t="str">
        <f t="shared" si="11"/>
        <v/>
      </c>
    </row>
    <row r="344" spans="8:27">
      <c r="H344" s="27"/>
      <c r="U344" s="3" t="str">
        <f t="shared" si="10"/>
        <v/>
      </c>
      <c r="AA344" s="3" t="str">
        <f t="shared" si="11"/>
        <v/>
      </c>
    </row>
    <row r="345" spans="8:27">
      <c r="H345" s="27"/>
      <c r="U345" s="3" t="str">
        <f t="shared" si="10"/>
        <v/>
      </c>
      <c r="AA345" s="3" t="str">
        <f t="shared" si="11"/>
        <v/>
      </c>
    </row>
    <row r="346" spans="8:27">
      <c r="H346" s="27"/>
      <c r="U346" s="3" t="str">
        <f t="shared" si="10"/>
        <v/>
      </c>
      <c r="AA346" s="3" t="str">
        <f t="shared" si="11"/>
        <v/>
      </c>
    </row>
    <row r="347" spans="8:27">
      <c r="H347" s="27"/>
      <c r="U347" s="3" t="str">
        <f t="shared" si="10"/>
        <v/>
      </c>
      <c r="AA347" s="3" t="str">
        <f t="shared" si="11"/>
        <v/>
      </c>
    </row>
    <row r="348" spans="8:27">
      <c r="H348" s="27"/>
      <c r="U348" s="3" t="str">
        <f t="shared" si="10"/>
        <v/>
      </c>
      <c r="AA348" s="3" t="str">
        <f t="shared" si="11"/>
        <v/>
      </c>
    </row>
    <row r="349" spans="8:27">
      <c r="H349" s="27"/>
      <c r="U349" s="3" t="str">
        <f t="shared" si="10"/>
        <v/>
      </c>
      <c r="AA349" s="3" t="str">
        <f t="shared" si="11"/>
        <v/>
      </c>
    </row>
    <row r="350" spans="8:27">
      <c r="H350" s="27"/>
      <c r="U350" s="3" t="str">
        <f t="shared" si="10"/>
        <v/>
      </c>
      <c r="AA350" s="3" t="str">
        <f t="shared" si="11"/>
        <v/>
      </c>
    </row>
    <row r="351" spans="8:27">
      <c r="H351" s="27"/>
      <c r="U351" s="3" t="str">
        <f t="shared" si="10"/>
        <v/>
      </c>
      <c r="AA351" s="3" t="str">
        <f t="shared" si="11"/>
        <v/>
      </c>
    </row>
    <row r="352" spans="8:27">
      <c r="H352" s="27"/>
      <c r="U352" s="3" t="str">
        <f t="shared" si="10"/>
        <v/>
      </c>
      <c r="AA352" s="3" t="str">
        <f t="shared" si="11"/>
        <v/>
      </c>
    </row>
    <row r="353" spans="8:27">
      <c r="H353" s="27"/>
      <c r="U353" s="3" t="str">
        <f t="shared" si="10"/>
        <v/>
      </c>
      <c r="AA353" s="3" t="str">
        <f t="shared" si="11"/>
        <v/>
      </c>
    </row>
    <row r="354" spans="8:27">
      <c r="H354" s="27"/>
      <c r="U354" s="3" t="str">
        <f t="shared" si="10"/>
        <v/>
      </c>
      <c r="AA354" s="3" t="str">
        <f t="shared" si="11"/>
        <v/>
      </c>
    </row>
    <row r="355" spans="8:27">
      <c r="H355" s="27"/>
      <c r="U355" s="3" t="str">
        <f t="shared" si="10"/>
        <v/>
      </c>
      <c r="AA355" s="3" t="str">
        <f t="shared" si="11"/>
        <v/>
      </c>
    </row>
    <row r="356" spans="8:27">
      <c r="H356" s="27"/>
      <c r="U356" s="3" t="str">
        <f t="shared" si="10"/>
        <v/>
      </c>
      <c r="AA356" s="3" t="str">
        <f t="shared" si="11"/>
        <v/>
      </c>
    </row>
    <row r="357" spans="8:27">
      <c r="H357" s="27"/>
      <c r="U357" s="3" t="str">
        <f t="shared" si="10"/>
        <v/>
      </c>
      <c r="AA357" s="3" t="str">
        <f t="shared" si="11"/>
        <v/>
      </c>
    </row>
    <row r="358" spans="8:27">
      <c r="H358" s="27"/>
      <c r="U358" s="3" t="str">
        <f t="shared" si="10"/>
        <v/>
      </c>
      <c r="AA358" s="3" t="str">
        <f t="shared" si="11"/>
        <v/>
      </c>
    </row>
    <row r="359" spans="8:27">
      <c r="H359" s="27"/>
      <c r="U359" s="3" t="str">
        <f t="shared" si="10"/>
        <v/>
      </c>
      <c r="AA359" s="3" t="str">
        <f t="shared" si="11"/>
        <v/>
      </c>
    </row>
    <row r="360" spans="8:27">
      <c r="H360" s="27"/>
      <c r="U360" s="3" t="str">
        <f t="shared" si="10"/>
        <v/>
      </c>
      <c r="AA360" s="3" t="str">
        <f t="shared" si="11"/>
        <v/>
      </c>
    </row>
    <row r="361" spans="8:27">
      <c r="H361" s="27"/>
      <c r="U361" s="3" t="str">
        <f t="shared" si="10"/>
        <v/>
      </c>
      <c r="AA361" s="3" t="str">
        <f t="shared" si="11"/>
        <v/>
      </c>
    </row>
    <row r="362" spans="8:27">
      <c r="H362" s="27"/>
      <c r="U362" s="3" t="str">
        <f t="shared" si="10"/>
        <v/>
      </c>
      <c r="AA362" s="3" t="str">
        <f t="shared" si="11"/>
        <v/>
      </c>
    </row>
    <row r="363" spans="8:27">
      <c r="H363" s="27"/>
      <c r="U363" s="3" t="str">
        <f t="shared" si="10"/>
        <v/>
      </c>
      <c r="AA363" s="3" t="str">
        <f t="shared" si="11"/>
        <v/>
      </c>
    </row>
    <row r="364" spans="8:27">
      <c r="H364" s="27"/>
      <c r="U364" s="3" t="str">
        <f t="shared" si="10"/>
        <v/>
      </c>
      <c r="AA364" s="3" t="str">
        <f t="shared" si="11"/>
        <v/>
      </c>
    </row>
    <row r="365" spans="8:27">
      <c r="H365" s="27"/>
      <c r="U365" s="3" t="str">
        <f t="shared" si="10"/>
        <v/>
      </c>
      <c r="AA365" s="3" t="str">
        <f t="shared" si="11"/>
        <v/>
      </c>
    </row>
    <row r="366" spans="8:27">
      <c r="H366" s="27"/>
      <c r="U366" s="3" t="str">
        <f t="shared" si="10"/>
        <v/>
      </c>
      <c r="AA366" s="3" t="str">
        <f t="shared" si="11"/>
        <v/>
      </c>
    </row>
    <row r="367" spans="8:27">
      <c r="H367" s="27"/>
      <c r="U367" s="3" t="str">
        <f t="shared" si="10"/>
        <v/>
      </c>
      <c r="AA367" s="3" t="str">
        <f t="shared" si="11"/>
        <v/>
      </c>
    </row>
    <row r="368" spans="8:27">
      <c r="H368" s="27"/>
      <c r="U368" s="3" t="str">
        <f t="shared" si="10"/>
        <v/>
      </c>
      <c r="AA368" s="3" t="str">
        <f t="shared" si="11"/>
        <v/>
      </c>
    </row>
    <row r="369" spans="8:27">
      <c r="H369" s="27"/>
      <c r="U369" s="3" t="str">
        <f t="shared" si="10"/>
        <v/>
      </c>
      <c r="AA369" s="3" t="str">
        <f t="shared" si="11"/>
        <v/>
      </c>
    </row>
    <row r="370" spans="8:27">
      <c r="H370" s="27"/>
      <c r="U370" s="3" t="str">
        <f t="shared" si="10"/>
        <v/>
      </c>
      <c r="AA370" s="3" t="str">
        <f t="shared" si="11"/>
        <v/>
      </c>
    </row>
    <row r="371" spans="8:27">
      <c r="H371" s="27"/>
      <c r="U371" s="3" t="str">
        <f t="shared" si="10"/>
        <v/>
      </c>
      <c r="AA371" s="3" t="str">
        <f t="shared" si="11"/>
        <v/>
      </c>
    </row>
    <row r="372" spans="8:27">
      <c r="H372" s="27"/>
      <c r="U372" s="3" t="str">
        <f t="shared" si="10"/>
        <v/>
      </c>
      <c r="AA372" s="3" t="str">
        <f t="shared" si="11"/>
        <v/>
      </c>
    </row>
    <row r="373" spans="8:27">
      <c r="H373" s="27"/>
      <c r="U373" s="3" t="str">
        <f t="shared" si="10"/>
        <v/>
      </c>
      <c r="AA373" s="3" t="str">
        <f t="shared" si="11"/>
        <v/>
      </c>
    </row>
    <row r="374" spans="8:27">
      <c r="H374" s="27"/>
      <c r="U374" s="3" t="str">
        <f t="shared" si="10"/>
        <v/>
      </c>
      <c r="AA374" s="3" t="str">
        <f t="shared" si="11"/>
        <v/>
      </c>
    </row>
    <row r="375" spans="8:27">
      <c r="H375" s="27"/>
      <c r="U375" s="3" t="str">
        <f t="shared" si="10"/>
        <v/>
      </c>
      <c r="AA375" s="3" t="str">
        <f t="shared" si="11"/>
        <v/>
      </c>
    </row>
    <row r="376" spans="8:27">
      <c r="H376" s="27"/>
      <c r="U376" s="3" t="str">
        <f t="shared" si="10"/>
        <v/>
      </c>
      <c r="AA376" s="3" t="str">
        <f t="shared" si="11"/>
        <v/>
      </c>
    </row>
    <row r="377" spans="8:27">
      <c r="H377" s="27"/>
      <c r="U377" s="3" t="str">
        <f t="shared" si="10"/>
        <v/>
      </c>
      <c r="AA377" s="3" t="str">
        <f t="shared" si="11"/>
        <v/>
      </c>
    </row>
    <row r="378" spans="8:27">
      <c r="H378" s="27"/>
      <c r="U378" s="3" t="str">
        <f t="shared" si="10"/>
        <v/>
      </c>
      <c r="AA378" s="3" t="str">
        <f t="shared" si="11"/>
        <v/>
      </c>
    </row>
    <row r="379" spans="8:27">
      <c r="H379" s="27"/>
      <c r="U379" s="3" t="str">
        <f t="shared" si="10"/>
        <v/>
      </c>
      <c r="AA379" s="3" t="str">
        <f t="shared" si="11"/>
        <v/>
      </c>
    </row>
    <row r="380" spans="8:27">
      <c r="H380" s="27"/>
      <c r="U380" s="3" t="str">
        <f t="shared" si="10"/>
        <v/>
      </c>
      <c r="AA380" s="3" t="str">
        <f t="shared" si="11"/>
        <v/>
      </c>
    </row>
    <row r="381" spans="8:27">
      <c r="H381" s="27"/>
      <c r="U381" s="3" t="str">
        <f t="shared" si="10"/>
        <v/>
      </c>
      <c r="AA381" s="3" t="str">
        <f t="shared" si="11"/>
        <v/>
      </c>
    </row>
    <row r="382" spans="8:27">
      <c r="H382" s="27"/>
      <c r="U382" s="3" t="str">
        <f t="shared" si="10"/>
        <v/>
      </c>
      <c r="AA382" s="3" t="str">
        <f t="shared" si="11"/>
        <v/>
      </c>
    </row>
    <row r="383" spans="8:27">
      <c r="H383" s="27"/>
      <c r="U383" s="3" t="str">
        <f t="shared" si="10"/>
        <v/>
      </c>
      <c r="AA383" s="3" t="str">
        <f t="shared" si="11"/>
        <v/>
      </c>
    </row>
    <row r="384" spans="8:27">
      <c r="H384" s="27"/>
      <c r="U384" s="3" t="str">
        <f t="shared" si="10"/>
        <v/>
      </c>
      <c r="AA384" s="3" t="str">
        <f t="shared" si="11"/>
        <v/>
      </c>
    </row>
    <row r="385" spans="8:27">
      <c r="H385" s="27"/>
      <c r="U385" s="3" t="str">
        <f t="shared" si="10"/>
        <v/>
      </c>
      <c r="AA385" s="3" t="str">
        <f t="shared" si="11"/>
        <v/>
      </c>
    </row>
    <row r="386" spans="8:27">
      <c r="H386" s="27"/>
      <c r="U386" s="3" t="str">
        <f t="shared" si="10"/>
        <v/>
      </c>
      <c r="AA386" s="3" t="str">
        <f t="shared" si="11"/>
        <v/>
      </c>
    </row>
    <row r="387" spans="8:27">
      <c r="H387" s="27"/>
      <c r="U387" s="3" t="str">
        <f t="shared" si="10"/>
        <v/>
      </c>
      <c r="AA387" s="3" t="str">
        <f t="shared" si="11"/>
        <v/>
      </c>
    </row>
    <row r="388" spans="8:27">
      <c r="H388" s="27"/>
      <c r="U388" s="3" t="str">
        <f t="shared" si="10"/>
        <v/>
      </c>
      <c r="AA388" s="3" t="str">
        <f t="shared" si="11"/>
        <v/>
      </c>
    </row>
    <row r="389" spans="8:27">
      <c r="H389" s="27"/>
      <c r="U389" s="3" t="str">
        <f t="shared" si="10"/>
        <v/>
      </c>
      <c r="AA389" s="3" t="str">
        <f t="shared" si="11"/>
        <v/>
      </c>
    </row>
    <row r="390" spans="8:27">
      <c r="H390" s="27"/>
      <c r="U390" s="3" t="str">
        <f t="shared" ref="U390:U453" si="12">IF(S390="","",IF(T390="","",H390))</f>
        <v/>
      </c>
      <c r="AA390" s="3" t="str">
        <f t="shared" ref="AA390:AA453" si="13">IF(V390="","",IF(X390="","",H390))</f>
        <v/>
      </c>
    </row>
    <row r="391" spans="8:27">
      <c r="H391" s="27"/>
      <c r="U391" s="3" t="str">
        <f t="shared" si="12"/>
        <v/>
      </c>
      <c r="AA391" s="3" t="str">
        <f t="shared" si="13"/>
        <v/>
      </c>
    </row>
    <row r="392" spans="8:27">
      <c r="H392" s="27"/>
      <c r="U392" s="3" t="str">
        <f t="shared" si="12"/>
        <v/>
      </c>
      <c r="AA392" s="3" t="str">
        <f t="shared" si="13"/>
        <v/>
      </c>
    </row>
    <row r="393" spans="8:27">
      <c r="H393" s="27"/>
      <c r="U393" s="3" t="str">
        <f t="shared" si="12"/>
        <v/>
      </c>
      <c r="AA393" s="3" t="str">
        <f t="shared" si="13"/>
        <v/>
      </c>
    </row>
    <row r="394" spans="8:27">
      <c r="H394" s="27"/>
      <c r="U394" s="3" t="str">
        <f t="shared" si="12"/>
        <v/>
      </c>
      <c r="AA394" s="3" t="str">
        <f t="shared" si="13"/>
        <v/>
      </c>
    </row>
    <row r="395" spans="8:27">
      <c r="H395" s="27"/>
      <c r="U395" s="3" t="str">
        <f t="shared" si="12"/>
        <v/>
      </c>
      <c r="AA395" s="3" t="str">
        <f t="shared" si="13"/>
        <v/>
      </c>
    </row>
    <row r="396" spans="8:27">
      <c r="H396" s="27"/>
      <c r="U396" s="3" t="str">
        <f t="shared" si="12"/>
        <v/>
      </c>
      <c r="AA396" s="3" t="str">
        <f t="shared" si="13"/>
        <v/>
      </c>
    </row>
    <row r="397" spans="8:27">
      <c r="H397" s="27"/>
      <c r="U397" s="3" t="str">
        <f t="shared" si="12"/>
        <v/>
      </c>
      <c r="AA397" s="3" t="str">
        <f t="shared" si="13"/>
        <v/>
      </c>
    </row>
    <row r="398" spans="8:27">
      <c r="H398" s="27"/>
      <c r="U398" s="3" t="str">
        <f t="shared" si="12"/>
        <v/>
      </c>
      <c r="AA398" s="3" t="str">
        <f t="shared" si="13"/>
        <v/>
      </c>
    </row>
    <row r="399" spans="8:27">
      <c r="H399" s="27"/>
      <c r="U399" s="3" t="str">
        <f t="shared" si="12"/>
        <v/>
      </c>
      <c r="AA399" s="3" t="str">
        <f t="shared" si="13"/>
        <v/>
      </c>
    </row>
    <row r="400" spans="8:27">
      <c r="H400" s="27"/>
      <c r="U400" s="3" t="str">
        <f t="shared" si="12"/>
        <v/>
      </c>
      <c r="AA400" s="3" t="str">
        <f t="shared" si="13"/>
        <v/>
      </c>
    </row>
    <row r="401" spans="8:27">
      <c r="H401" s="27"/>
      <c r="U401" s="3" t="str">
        <f t="shared" si="12"/>
        <v/>
      </c>
      <c r="AA401" s="3" t="str">
        <f t="shared" si="13"/>
        <v/>
      </c>
    </row>
    <row r="402" spans="8:27">
      <c r="H402" s="27"/>
      <c r="U402" s="3" t="str">
        <f t="shared" si="12"/>
        <v/>
      </c>
      <c r="AA402" s="3" t="str">
        <f t="shared" si="13"/>
        <v/>
      </c>
    </row>
    <row r="403" spans="8:27">
      <c r="H403" s="27"/>
      <c r="U403" s="3" t="str">
        <f t="shared" si="12"/>
        <v/>
      </c>
      <c r="AA403" s="3" t="str">
        <f t="shared" si="13"/>
        <v/>
      </c>
    </row>
    <row r="404" spans="8:27">
      <c r="H404" s="27"/>
      <c r="U404" s="3" t="str">
        <f t="shared" si="12"/>
        <v/>
      </c>
      <c r="AA404" s="3" t="str">
        <f t="shared" si="13"/>
        <v/>
      </c>
    </row>
    <row r="405" spans="8:27">
      <c r="H405" s="27"/>
      <c r="U405" s="3" t="str">
        <f t="shared" si="12"/>
        <v/>
      </c>
      <c r="AA405" s="3" t="str">
        <f t="shared" si="13"/>
        <v/>
      </c>
    </row>
    <row r="406" spans="8:27">
      <c r="H406" s="27"/>
      <c r="U406" s="3" t="str">
        <f t="shared" si="12"/>
        <v/>
      </c>
      <c r="AA406" s="3" t="str">
        <f t="shared" si="13"/>
        <v/>
      </c>
    </row>
    <row r="407" spans="8:27">
      <c r="H407" s="27"/>
      <c r="U407" s="3" t="str">
        <f t="shared" si="12"/>
        <v/>
      </c>
      <c r="AA407" s="3" t="str">
        <f t="shared" si="13"/>
        <v/>
      </c>
    </row>
    <row r="408" spans="8:27">
      <c r="H408" s="27"/>
      <c r="U408" s="3" t="str">
        <f t="shared" si="12"/>
        <v/>
      </c>
      <c r="AA408" s="3" t="str">
        <f t="shared" si="13"/>
        <v/>
      </c>
    </row>
    <row r="409" spans="8:27">
      <c r="H409" s="27"/>
      <c r="U409" s="3" t="str">
        <f t="shared" si="12"/>
        <v/>
      </c>
      <c r="AA409" s="3" t="str">
        <f t="shared" si="13"/>
        <v/>
      </c>
    </row>
    <row r="410" spans="8:27">
      <c r="H410" s="27"/>
      <c r="U410" s="3" t="str">
        <f t="shared" si="12"/>
        <v/>
      </c>
      <c r="AA410" s="3" t="str">
        <f t="shared" si="13"/>
        <v/>
      </c>
    </row>
    <row r="411" spans="8:27">
      <c r="H411" s="27"/>
      <c r="U411" s="3" t="str">
        <f t="shared" si="12"/>
        <v/>
      </c>
      <c r="AA411" s="3" t="str">
        <f t="shared" si="13"/>
        <v/>
      </c>
    </row>
    <row r="412" spans="8:27">
      <c r="H412" s="27"/>
      <c r="U412" s="3" t="str">
        <f t="shared" si="12"/>
        <v/>
      </c>
      <c r="AA412" s="3" t="str">
        <f t="shared" si="13"/>
        <v/>
      </c>
    </row>
    <row r="413" spans="8:27">
      <c r="H413" s="27"/>
      <c r="U413" s="3" t="str">
        <f t="shared" si="12"/>
        <v/>
      </c>
      <c r="AA413" s="3" t="str">
        <f t="shared" si="13"/>
        <v/>
      </c>
    </row>
    <row r="414" spans="8:27">
      <c r="H414" s="27"/>
      <c r="U414" s="3" t="str">
        <f t="shared" si="12"/>
        <v/>
      </c>
      <c r="AA414" s="3" t="str">
        <f t="shared" si="13"/>
        <v/>
      </c>
    </row>
    <row r="415" spans="8:27">
      <c r="H415" s="27"/>
      <c r="U415" s="3" t="str">
        <f t="shared" si="12"/>
        <v/>
      </c>
      <c r="AA415" s="3" t="str">
        <f t="shared" si="13"/>
        <v/>
      </c>
    </row>
    <row r="416" spans="8:27">
      <c r="H416" s="27"/>
      <c r="U416" s="3" t="str">
        <f t="shared" si="12"/>
        <v/>
      </c>
      <c r="AA416" s="3" t="str">
        <f t="shared" si="13"/>
        <v/>
      </c>
    </row>
    <row r="417" spans="8:27">
      <c r="H417" s="27"/>
      <c r="U417" s="3" t="str">
        <f t="shared" si="12"/>
        <v/>
      </c>
      <c r="AA417" s="3" t="str">
        <f t="shared" si="13"/>
        <v/>
      </c>
    </row>
    <row r="418" spans="8:27">
      <c r="H418" s="27"/>
      <c r="U418" s="3" t="str">
        <f t="shared" si="12"/>
        <v/>
      </c>
      <c r="AA418" s="3" t="str">
        <f t="shared" si="13"/>
        <v/>
      </c>
    </row>
    <row r="419" spans="8:27">
      <c r="H419" s="27"/>
      <c r="U419" s="3" t="str">
        <f t="shared" si="12"/>
        <v/>
      </c>
      <c r="AA419" s="3" t="str">
        <f t="shared" si="13"/>
        <v/>
      </c>
    </row>
    <row r="420" spans="8:27">
      <c r="H420" s="27"/>
      <c r="U420" s="3" t="str">
        <f t="shared" si="12"/>
        <v/>
      </c>
      <c r="AA420" s="3" t="str">
        <f t="shared" si="13"/>
        <v/>
      </c>
    </row>
    <row r="421" spans="8:27">
      <c r="H421" s="27"/>
      <c r="U421" s="3" t="str">
        <f t="shared" si="12"/>
        <v/>
      </c>
      <c r="AA421" s="3" t="str">
        <f t="shared" si="13"/>
        <v/>
      </c>
    </row>
    <row r="422" spans="8:27">
      <c r="H422" s="27"/>
      <c r="U422" s="3" t="str">
        <f t="shared" si="12"/>
        <v/>
      </c>
      <c r="AA422" s="3" t="str">
        <f t="shared" si="13"/>
        <v/>
      </c>
    </row>
    <row r="423" spans="8:27">
      <c r="H423" s="27"/>
      <c r="U423" s="3" t="str">
        <f t="shared" si="12"/>
        <v/>
      </c>
      <c r="AA423" s="3" t="str">
        <f t="shared" si="13"/>
        <v/>
      </c>
    </row>
    <row r="424" spans="8:27">
      <c r="H424" s="27"/>
      <c r="U424" s="3" t="str">
        <f t="shared" si="12"/>
        <v/>
      </c>
      <c r="AA424" s="3" t="str">
        <f t="shared" si="13"/>
        <v/>
      </c>
    </row>
    <row r="425" spans="8:27">
      <c r="H425" s="27"/>
      <c r="U425" s="3" t="str">
        <f t="shared" si="12"/>
        <v/>
      </c>
      <c r="AA425" s="3" t="str">
        <f t="shared" si="13"/>
        <v/>
      </c>
    </row>
    <row r="426" spans="8:27">
      <c r="H426" s="27"/>
      <c r="U426" s="3" t="str">
        <f t="shared" si="12"/>
        <v/>
      </c>
      <c r="AA426" s="3" t="str">
        <f t="shared" si="13"/>
        <v/>
      </c>
    </row>
    <row r="427" spans="8:27">
      <c r="H427" s="27"/>
      <c r="U427" s="3" t="str">
        <f t="shared" si="12"/>
        <v/>
      </c>
      <c r="AA427" s="3" t="str">
        <f t="shared" si="13"/>
        <v/>
      </c>
    </row>
    <row r="428" spans="8:27">
      <c r="H428" s="27"/>
      <c r="U428" s="3" t="str">
        <f t="shared" si="12"/>
        <v/>
      </c>
      <c r="AA428" s="3" t="str">
        <f t="shared" si="13"/>
        <v/>
      </c>
    </row>
    <row r="429" spans="8:27">
      <c r="H429" s="27"/>
      <c r="U429" s="3" t="str">
        <f t="shared" si="12"/>
        <v/>
      </c>
      <c r="AA429" s="3" t="str">
        <f t="shared" si="13"/>
        <v/>
      </c>
    </row>
    <row r="430" spans="8:27">
      <c r="H430" s="27"/>
      <c r="U430" s="3" t="str">
        <f t="shared" si="12"/>
        <v/>
      </c>
      <c r="AA430" s="3" t="str">
        <f t="shared" si="13"/>
        <v/>
      </c>
    </row>
    <row r="431" spans="8:27">
      <c r="H431" s="27"/>
      <c r="U431" s="3" t="str">
        <f t="shared" si="12"/>
        <v/>
      </c>
      <c r="AA431" s="3" t="str">
        <f t="shared" si="13"/>
        <v/>
      </c>
    </row>
    <row r="432" spans="8:27">
      <c r="H432" s="27"/>
      <c r="U432" s="3" t="str">
        <f t="shared" si="12"/>
        <v/>
      </c>
      <c r="AA432" s="3" t="str">
        <f t="shared" si="13"/>
        <v/>
      </c>
    </row>
    <row r="433" spans="8:27">
      <c r="H433" s="27"/>
      <c r="U433" s="3" t="str">
        <f t="shared" si="12"/>
        <v/>
      </c>
      <c r="AA433" s="3" t="str">
        <f t="shared" si="13"/>
        <v/>
      </c>
    </row>
    <row r="434" spans="8:27">
      <c r="H434" s="27"/>
      <c r="U434" s="3" t="str">
        <f t="shared" si="12"/>
        <v/>
      </c>
      <c r="AA434" s="3" t="str">
        <f t="shared" si="13"/>
        <v/>
      </c>
    </row>
    <row r="435" spans="8:27">
      <c r="H435" s="27"/>
      <c r="U435" s="3" t="str">
        <f t="shared" si="12"/>
        <v/>
      </c>
      <c r="AA435" s="3" t="str">
        <f t="shared" si="13"/>
        <v/>
      </c>
    </row>
    <row r="436" spans="8:27">
      <c r="H436" s="27"/>
      <c r="U436" s="3" t="str">
        <f t="shared" si="12"/>
        <v/>
      </c>
      <c r="AA436" s="3" t="str">
        <f t="shared" si="13"/>
        <v/>
      </c>
    </row>
    <row r="437" spans="8:27">
      <c r="H437" s="27"/>
      <c r="U437" s="3" t="str">
        <f t="shared" si="12"/>
        <v/>
      </c>
      <c r="AA437" s="3" t="str">
        <f t="shared" si="13"/>
        <v/>
      </c>
    </row>
    <row r="438" spans="8:27">
      <c r="H438" s="27"/>
      <c r="U438" s="3" t="str">
        <f t="shared" si="12"/>
        <v/>
      </c>
      <c r="AA438" s="3" t="str">
        <f t="shared" si="13"/>
        <v/>
      </c>
    </row>
    <row r="439" spans="8:27">
      <c r="H439" s="27"/>
      <c r="U439" s="3" t="str">
        <f t="shared" si="12"/>
        <v/>
      </c>
      <c r="AA439" s="3" t="str">
        <f t="shared" si="13"/>
        <v/>
      </c>
    </row>
    <row r="440" spans="8:27">
      <c r="H440" s="27"/>
      <c r="U440" s="3" t="str">
        <f t="shared" si="12"/>
        <v/>
      </c>
      <c r="AA440" s="3" t="str">
        <f t="shared" si="13"/>
        <v/>
      </c>
    </row>
    <row r="441" spans="8:27">
      <c r="H441" s="27"/>
      <c r="U441" s="3" t="str">
        <f t="shared" si="12"/>
        <v/>
      </c>
      <c r="AA441" s="3" t="str">
        <f t="shared" si="13"/>
        <v/>
      </c>
    </row>
    <row r="442" spans="8:27">
      <c r="H442" s="27"/>
      <c r="U442" s="3" t="str">
        <f t="shared" si="12"/>
        <v/>
      </c>
      <c r="AA442" s="3" t="str">
        <f t="shared" si="13"/>
        <v/>
      </c>
    </row>
    <row r="443" spans="8:27">
      <c r="H443" s="27"/>
      <c r="U443" s="3" t="str">
        <f t="shared" si="12"/>
        <v/>
      </c>
      <c r="AA443" s="3" t="str">
        <f t="shared" si="13"/>
        <v/>
      </c>
    </row>
    <row r="444" spans="8:27">
      <c r="H444" s="27"/>
      <c r="U444" s="3" t="str">
        <f t="shared" si="12"/>
        <v/>
      </c>
      <c r="AA444" s="3" t="str">
        <f t="shared" si="13"/>
        <v/>
      </c>
    </row>
    <row r="445" spans="8:27">
      <c r="H445" s="27"/>
      <c r="U445" s="3" t="str">
        <f t="shared" si="12"/>
        <v/>
      </c>
      <c r="AA445" s="3" t="str">
        <f t="shared" si="13"/>
        <v/>
      </c>
    </row>
    <row r="446" spans="8:27">
      <c r="H446" s="27"/>
      <c r="U446" s="3" t="str">
        <f t="shared" si="12"/>
        <v/>
      </c>
      <c r="AA446" s="3" t="str">
        <f t="shared" si="13"/>
        <v/>
      </c>
    </row>
    <row r="447" spans="8:27">
      <c r="H447" s="27"/>
      <c r="U447" s="3" t="str">
        <f t="shared" si="12"/>
        <v/>
      </c>
      <c r="AA447" s="3" t="str">
        <f t="shared" si="13"/>
        <v/>
      </c>
    </row>
    <row r="448" spans="8:27">
      <c r="H448" s="27"/>
      <c r="U448" s="3" t="str">
        <f t="shared" si="12"/>
        <v/>
      </c>
      <c r="AA448" s="3" t="str">
        <f t="shared" si="13"/>
        <v/>
      </c>
    </row>
    <row r="449" spans="8:27">
      <c r="H449" s="27"/>
      <c r="U449" s="3" t="str">
        <f t="shared" si="12"/>
        <v/>
      </c>
      <c r="AA449" s="3" t="str">
        <f t="shared" si="13"/>
        <v/>
      </c>
    </row>
    <row r="450" spans="8:27">
      <c r="H450" s="27"/>
      <c r="U450" s="3" t="str">
        <f t="shared" si="12"/>
        <v/>
      </c>
      <c r="AA450" s="3" t="str">
        <f t="shared" si="13"/>
        <v/>
      </c>
    </row>
    <row r="451" spans="8:27">
      <c r="H451" s="27"/>
      <c r="U451" s="3" t="str">
        <f t="shared" si="12"/>
        <v/>
      </c>
      <c r="AA451" s="3" t="str">
        <f t="shared" si="13"/>
        <v/>
      </c>
    </row>
    <row r="452" spans="8:27">
      <c r="H452" s="27"/>
      <c r="U452" s="3" t="str">
        <f t="shared" si="12"/>
        <v/>
      </c>
      <c r="AA452" s="3" t="str">
        <f t="shared" si="13"/>
        <v/>
      </c>
    </row>
    <row r="453" spans="8:27">
      <c r="H453" s="27"/>
      <c r="U453" s="3" t="str">
        <f t="shared" si="12"/>
        <v/>
      </c>
      <c r="AA453" s="3" t="str">
        <f t="shared" si="13"/>
        <v/>
      </c>
    </row>
    <row r="454" spans="8:27">
      <c r="H454" s="27"/>
      <c r="U454" s="3" t="str">
        <f t="shared" ref="U454:U517" si="14">IF(S454="","",IF(T454="","",H454))</f>
        <v/>
      </c>
      <c r="AA454" s="3" t="str">
        <f t="shared" ref="AA454:AA517" si="15">IF(V454="","",IF(X454="","",H454))</f>
        <v/>
      </c>
    </row>
    <row r="455" spans="8:27">
      <c r="H455" s="27"/>
      <c r="U455" s="3" t="str">
        <f t="shared" si="14"/>
        <v/>
      </c>
      <c r="AA455" s="3" t="str">
        <f t="shared" si="15"/>
        <v/>
      </c>
    </row>
    <row r="456" spans="8:27">
      <c r="H456" s="27"/>
      <c r="U456" s="3" t="str">
        <f t="shared" si="14"/>
        <v/>
      </c>
      <c r="AA456" s="3" t="str">
        <f t="shared" si="15"/>
        <v/>
      </c>
    </row>
    <row r="457" spans="8:27">
      <c r="H457" s="27"/>
      <c r="U457" s="3" t="str">
        <f t="shared" si="14"/>
        <v/>
      </c>
      <c r="AA457" s="3" t="str">
        <f t="shared" si="15"/>
        <v/>
      </c>
    </row>
    <row r="458" spans="8:27">
      <c r="H458" s="27"/>
      <c r="U458" s="3" t="str">
        <f t="shared" si="14"/>
        <v/>
      </c>
      <c r="AA458" s="3" t="str">
        <f t="shared" si="15"/>
        <v/>
      </c>
    </row>
    <row r="459" spans="8:27">
      <c r="H459" s="27"/>
      <c r="U459" s="3" t="str">
        <f t="shared" si="14"/>
        <v/>
      </c>
      <c r="AA459" s="3" t="str">
        <f t="shared" si="15"/>
        <v/>
      </c>
    </row>
    <row r="460" spans="8:27">
      <c r="H460" s="27"/>
      <c r="U460" s="3" t="str">
        <f t="shared" si="14"/>
        <v/>
      </c>
      <c r="AA460" s="3" t="str">
        <f t="shared" si="15"/>
        <v/>
      </c>
    </row>
    <row r="461" spans="8:27">
      <c r="H461" s="27"/>
      <c r="U461" s="3" t="str">
        <f t="shared" si="14"/>
        <v/>
      </c>
      <c r="AA461" s="3" t="str">
        <f t="shared" si="15"/>
        <v/>
      </c>
    </row>
    <row r="462" spans="8:27">
      <c r="H462" s="27"/>
      <c r="U462" s="3" t="str">
        <f t="shared" si="14"/>
        <v/>
      </c>
      <c r="AA462" s="3" t="str">
        <f t="shared" si="15"/>
        <v/>
      </c>
    </row>
    <row r="463" spans="8:27">
      <c r="H463" s="27"/>
      <c r="U463" s="3" t="str">
        <f t="shared" si="14"/>
        <v/>
      </c>
      <c r="AA463" s="3" t="str">
        <f t="shared" si="15"/>
        <v/>
      </c>
    </row>
    <row r="464" spans="8:27">
      <c r="H464" s="27"/>
      <c r="U464" s="3" t="str">
        <f t="shared" si="14"/>
        <v/>
      </c>
      <c r="AA464" s="3" t="str">
        <f t="shared" si="15"/>
        <v/>
      </c>
    </row>
    <row r="465" spans="8:27">
      <c r="H465" s="27"/>
      <c r="U465" s="3" t="str">
        <f t="shared" si="14"/>
        <v/>
      </c>
      <c r="AA465" s="3" t="str">
        <f t="shared" si="15"/>
        <v/>
      </c>
    </row>
    <row r="466" spans="8:27">
      <c r="H466" s="27"/>
      <c r="U466" s="3" t="str">
        <f t="shared" si="14"/>
        <v/>
      </c>
      <c r="AA466" s="3" t="str">
        <f t="shared" si="15"/>
        <v/>
      </c>
    </row>
    <row r="467" spans="8:27">
      <c r="H467" s="27"/>
      <c r="U467" s="3" t="str">
        <f t="shared" si="14"/>
        <v/>
      </c>
      <c r="AA467" s="3" t="str">
        <f t="shared" si="15"/>
        <v/>
      </c>
    </row>
    <row r="468" spans="8:27">
      <c r="H468" s="27"/>
      <c r="U468" s="3" t="str">
        <f t="shared" si="14"/>
        <v/>
      </c>
      <c r="AA468" s="3" t="str">
        <f t="shared" si="15"/>
        <v/>
      </c>
    </row>
    <row r="469" spans="8:27">
      <c r="H469" s="27"/>
      <c r="U469" s="3" t="str">
        <f t="shared" si="14"/>
        <v/>
      </c>
      <c r="AA469" s="3" t="str">
        <f t="shared" si="15"/>
        <v/>
      </c>
    </row>
    <row r="470" spans="8:27">
      <c r="H470" s="27"/>
      <c r="U470" s="3" t="str">
        <f t="shared" si="14"/>
        <v/>
      </c>
      <c r="AA470" s="3" t="str">
        <f t="shared" si="15"/>
        <v/>
      </c>
    </row>
    <row r="471" spans="8:27">
      <c r="H471" s="27"/>
      <c r="U471" s="3" t="str">
        <f t="shared" si="14"/>
        <v/>
      </c>
      <c r="AA471" s="3" t="str">
        <f t="shared" si="15"/>
        <v/>
      </c>
    </row>
    <row r="472" spans="8:27">
      <c r="H472" s="27"/>
      <c r="U472" s="3" t="str">
        <f t="shared" si="14"/>
        <v/>
      </c>
      <c r="AA472" s="3" t="str">
        <f t="shared" si="15"/>
        <v/>
      </c>
    </row>
    <row r="473" spans="8:27">
      <c r="H473" s="27"/>
      <c r="U473" s="3" t="str">
        <f t="shared" si="14"/>
        <v/>
      </c>
      <c r="AA473" s="3" t="str">
        <f t="shared" si="15"/>
        <v/>
      </c>
    </row>
    <row r="474" spans="8:27">
      <c r="H474" s="27"/>
      <c r="U474" s="3" t="str">
        <f t="shared" si="14"/>
        <v/>
      </c>
      <c r="AA474" s="3" t="str">
        <f t="shared" si="15"/>
        <v/>
      </c>
    </row>
    <row r="475" spans="8:27">
      <c r="H475" s="27"/>
      <c r="U475" s="3" t="str">
        <f t="shared" si="14"/>
        <v/>
      </c>
      <c r="AA475" s="3" t="str">
        <f t="shared" si="15"/>
        <v/>
      </c>
    </row>
    <row r="476" spans="8:27">
      <c r="H476" s="27"/>
      <c r="U476" s="3" t="str">
        <f t="shared" si="14"/>
        <v/>
      </c>
      <c r="AA476" s="3" t="str">
        <f t="shared" si="15"/>
        <v/>
      </c>
    </row>
    <row r="477" spans="8:27">
      <c r="H477" s="27"/>
      <c r="U477" s="3" t="str">
        <f t="shared" si="14"/>
        <v/>
      </c>
      <c r="AA477" s="3" t="str">
        <f t="shared" si="15"/>
        <v/>
      </c>
    </row>
    <row r="478" spans="8:27">
      <c r="H478" s="27"/>
      <c r="U478" s="3" t="str">
        <f t="shared" si="14"/>
        <v/>
      </c>
      <c r="AA478" s="3" t="str">
        <f t="shared" si="15"/>
        <v/>
      </c>
    </row>
    <row r="479" spans="8:27">
      <c r="H479" s="27"/>
      <c r="U479" s="3" t="str">
        <f t="shared" si="14"/>
        <v/>
      </c>
      <c r="AA479" s="3" t="str">
        <f t="shared" si="15"/>
        <v/>
      </c>
    </row>
    <row r="480" spans="8:27">
      <c r="H480" s="27"/>
      <c r="U480" s="3" t="str">
        <f t="shared" si="14"/>
        <v/>
      </c>
      <c r="AA480" s="3" t="str">
        <f t="shared" si="15"/>
        <v/>
      </c>
    </row>
    <row r="481" spans="8:27">
      <c r="H481" s="27"/>
      <c r="U481" s="3" t="str">
        <f t="shared" si="14"/>
        <v/>
      </c>
      <c r="AA481" s="3" t="str">
        <f t="shared" si="15"/>
        <v/>
      </c>
    </row>
    <row r="482" spans="8:27">
      <c r="H482" s="27"/>
      <c r="U482" s="3" t="str">
        <f t="shared" si="14"/>
        <v/>
      </c>
      <c r="AA482" s="3" t="str">
        <f t="shared" si="15"/>
        <v/>
      </c>
    </row>
    <row r="483" spans="8:27">
      <c r="H483" s="27"/>
      <c r="U483" s="3" t="str">
        <f t="shared" si="14"/>
        <v/>
      </c>
      <c r="AA483" s="3" t="str">
        <f t="shared" si="15"/>
        <v/>
      </c>
    </row>
    <row r="484" spans="8:27">
      <c r="H484" s="27"/>
      <c r="U484" s="3" t="str">
        <f t="shared" si="14"/>
        <v/>
      </c>
      <c r="AA484" s="3" t="str">
        <f t="shared" si="15"/>
        <v/>
      </c>
    </row>
    <row r="485" spans="8:27">
      <c r="H485" s="27"/>
      <c r="U485" s="3" t="str">
        <f t="shared" si="14"/>
        <v/>
      </c>
      <c r="AA485" s="3" t="str">
        <f t="shared" si="15"/>
        <v/>
      </c>
    </row>
    <row r="486" spans="8:27">
      <c r="H486" s="27"/>
      <c r="U486" s="3" t="str">
        <f t="shared" si="14"/>
        <v/>
      </c>
      <c r="AA486" s="3" t="str">
        <f t="shared" si="15"/>
        <v/>
      </c>
    </row>
    <row r="487" spans="8:27">
      <c r="H487" s="27"/>
      <c r="U487" s="3" t="str">
        <f t="shared" si="14"/>
        <v/>
      </c>
      <c r="AA487" s="3" t="str">
        <f t="shared" si="15"/>
        <v/>
      </c>
    </row>
    <row r="488" spans="8:27">
      <c r="H488" s="27"/>
      <c r="U488" s="3" t="str">
        <f t="shared" si="14"/>
        <v/>
      </c>
      <c r="AA488" s="3" t="str">
        <f t="shared" si="15"/>
        <v/>
      </c>
    </row>
    <row r="489" spans="8:27">
      <c r="H489" s="27"/>
      <c r="U489" s="3" t="str">
        <f t="shared" si="14"/>
        <v/>
      </c>
      <c r="AA489" s="3" t="str">
        <f t="shared" si="15"/>
        <v/>
      </c>
    </row>
    <row r="490" spans="8:27">
      <c r="H490" s="27"/>
      <c r="U490" s="3" t="str">
        <f t="shared" si="14"/>
        <v/>
      </c>
      <c r="AA490" s="3" t="str">
        <f t="shared" si="15"/>
        <v/>
      </c>
    </row>
    <row r="491" spans="8:27">
      <c r="H491" s="27"/>
      <c r="U491" s="3" t="str">
        <f t="shared" si="14"/>
        <v/>
      </c>
      <c r="AA491" s="3" t="str">
        <f t="shared" si="15"/>
        <v/>
      </c>
    </row>
    <row r="492" spans="8:27">
      <c r="H492" s="27"/>
      <c r="U492" s="3" t="str">
        <f t="shared" si="14"/>
        <v/>
      </c>
      <c r="AA492" s="3" t="str">
        <f t="shared" si="15"/>
        <v/>
      </c>
    </row>
    <row r="493" spans="8:27">
      <c r="H493" s="27"/>
      <c r="U493" s="3" t="str">
        <f t="shared" si="14"/>
        <v/>
      </c>
      <c r="AA493" s="3" t="str">
        <f t="shared" si="15"/>
        <v/>
      </c>
    </row>
    <row r="494" spans="8:27">
      <c r="H494" s="27"/>
      <c r="U494" s="3" t="str">
        <f t="shared" si="14"/>
        <v/>
      </c>
      <c r="AA494" s="3" t="str">
        <f t="shared" si="15"/>
        <v/>
      </c>
    </row>
    <row r="495" spans="8:27">
      <c r="H495" s="27"/>
      <c r="U495" s="3" t="str">
        <f t="shared" si="14"/>
        <v/>
      </c>
      <c r="AA495" s="3" t="str">
        <f t="shared" si="15"/>
        <v/>
      </c>
    </row>
    <row r="496" spans="8:27">
      <c r="H496" s="27"/>
      <c r="U496" s="3" t="str">
        <f t="shared" si="14"/>
        <v/>
      </c>
      <c r="AA496" s="3" t="str">
        <f t="shared" si="15"/>
        <v/>
      </c>
    </row>
    <row r="497" spans="8:27">
      <c r="H497" s="27"/>
      <c r="U497" s="3" t="str">
        <f t="shared" si="14"/>
        <v/>
      </c>
      <c r="AA497" s="3" t="str">
        <f t="shared" si="15"/>
        <v/>
      </c>
    </row>
    <row r="498" spans="8:27">
      <c r="H498" s="27"/>
      <c r="U498" s="3" t="str">
        <f t="shared" si="14"/>
        <v/>
      </c>
      <c r="AA498" s="3" t="str">
        <f t="shared" si="15"/>
        <v/>
      </c>
    </row>
    <row r="499" spans="8:27">
      <c r="H499" s="27"/>
      <c r="U499" s="3" t="str">
        <f t="shared" si="14"/>
        <v/>
      </c>
      <c r="AA499" s="3" t="str">
        <f t="shared" si="15"/>
        <v/>
      </c>
    </row>
    <row r="500" spans="8:27">
      <c r="H500" s="27"/>
      <c r="U500" s="3" t="str">
        <f t="shared" si="14"/>
        <v/>
      </c>
      <c r="AA500" s="3" t="str">
        <f t="shared" si="15"/>
        <v/>
      </c>
    </row>
    <row r="501" spans="8:27">
      <c r="H501" s="27"/>
      <c r="U501" s="3" t="str">
        <f t="shared" si="14"/>
        <v/>
      </c>
      <c r="AA501" s="3" t="str">
        <f t="shared" si="15"/>
        <v/>
      </c>
    </row>
    <row r="502" spans="8:27">
      <c r="H502" s="27"/>
      <c r="U502" s="3" t="str">
        <f t="shared" si="14"/>
        <v/>
      </c>
      <c r="AA502" s="3" t="str">
        <f t="shared" si="15"/>
        <v/>
      </c>
    </row>
    <row r="503" spans="8:27">
      <c r="H503" s="27"/>
      <c r="U503" s="3" t="str">
        <f t="shared" si="14"/>
        <v/>
      </c>
      <c r="AA503" s="3" t="str">
        <f t="shared" si="15"/>
        <v/>
      </c>
    </row>
    <row r="504" spans="8:27">
      <c r="H504" s="27"/>
      <c r="U504" s="3" t="str">
        <f t="shared" si="14"/>
        <v/>
      </c>
      <c r="AA504" s="3" t="str">
        <f t="shared" si="15"/>
        <v/>
      </c>
    </row>
    <row r="505" spans="8:27">
      <c r="H505" s="27"/>
      <c r="U505" s="3" t="str">
        <f t="shared" si="14"/>
        <v/>
      </c>
      <c r="AA505" s="3" t="str">
        <f t="shared" si="15"/>
        <v/>
      </c>
    </row>
    <row r="506" spans="8:27">
      <c r="H506" s="27"/>
      <c r="U506" s="3" t="str">
        <f t="shared" si="14"/>
        <v/>
      </c>
      <c r="AA506" s="3" t="str">
        <f t="shared" si="15"/>
        <v/>
      </c>
    </row>
    <row r="507" spans="8:27">
      <c r="H507" s="27"/>
      <c r="U507" s="3" t="str">
        <f t="shared" si="14"/>
        <v/>
      </c>
      <c r="AA507" s="3" t="str">
        <f t="shared" si="15"/>
        <v/>
      </c>
    </row>
    <row r="508" spans="8:27">
      <c r="H508" s="27"/>
      <c r="U508" s="3" t="str">
        <f t="shared" si="14"/>
        <v/>
      </c>
      <c r="AA508" s="3" t="str">
        <f t="shared" si="15"/>
        <v/>
      </c>
    </row>
    <row r="509" spans="8:27">
      <c r="H509" s="27"/>
      <c r="U509" s="3" t="str">
        <f t="shared" si="14"/>
        <v/>
      </c>
      <c r="AA509" s="3" t="str">
        <f t="shared" si="15"/>
        <v/>
      </c>
    </row>
    <row r="510" spans="8:27">
      <c r="H510" s="27"/>
      <c r="U510" s="3" t="str">
        <f t="shared" si="14"/>
        <v/>
      </c>
      <c r="AA510" s="3" t="str">
        <f t="shared" si="15"/>
        <v/>
      </c>
    </row>
    <row r="511" spans="8:27">
      <c r="H511" s="27"/>
      <c r="U511" s="3" t="str">
        <f t="shared" si="14"/>
        <v/>
      </c>
      <c r="AA511" s="3" t="str">
        <f t="shared" si="15"/>
        <v/>
      </c>
    </row>
    <row r="512" spans="8:27">
      <c r="H512" s="27"/>
      <c r="U512" s="3" t="str">
        <f t="shared" si="14"/>
        <v/>
      </c>
      <c r="AA512" s="3" t="str">
        <f t="shared" si="15"/>
        <v/>
      </c>
    </row>
    <row r="513" spans="8:27">
      <c r="H513" s="27"/>
      <c r="U513" s="3" t="str">
        <f t="shared" si="14"/>
        <v/>
      </c>
      <c r="AA513" s="3" t="str">
        <f t="shared" si="15"/>
        <v/>
      </c>
    </row>
    <row r="514" spans="8:27">
      <c r="H514" s="27"/>
      <c r="U514" s="3" t="str">
        <f t="shared" si="14"/>
        <v/>
      </c>
      <c r="AA514" s="3" t="str">
        <f t="shared" si="15"/>
        <v/>
      </c>
    </row>
    <row r="515" spans="8:27">
      <c r="H515" s="27"/>
      <c r="U515" s="3" t="str">
        <f t="shared" si="14"/>
        <v/>
      </c>
      <c r="AA515" s="3" t="str">
        <f t="shared" si="15"/>
        <v/>
      </c>
    </row>
    <row r="516" spans="8:27">
      <c r="H516" s="27"/>
      <c r="U516" s="3" t="str">
        <f t="shared" si="14"/>
        <v/>
      </c>
      <c r="AA516" s="3" t="str">
        <f t="shared" si="15"/>
        <v/>
      </c>
    </row>
    <row r="517" spans="8:27">
      <c r="H517" s="27"/>
      <c r="U517" s="3" t="str">
        <f t="shared" si="14"/>
        <v/>
      </c>
      <c r="AA517" s="3" t="str">
        <f t="shared" si="15"/>
        <v/>
      </c>
    </row>
    <row r="518" spans="8:27">
      <c r="H518" s="27"/>
      <c r="U518" s="3" t="str">
        <f t="shared" ref="U518:U581" si="16">IF(S518="","",IF(T518="","",H518))</f>
        <v/>
      </c>
      <c r="AA518" s="3" t="str">
        <f t="shared" ref="AA518:AA581" si="17">IF(V518="","",IF(X518="","",H518))</f>
        <v/>
      </c>
    </row>
    <row r="519" spans="8:27">
      <c r="H519" s="27"/>
      <c r="U519" s="3" t="str">
        <f t="shared" si="16"/>
        <v/>
      </c>
      <c r="AA519" s="3" t="str">
        <f t="shared" si="17"/>
        <v/>
      </c>
    </row>
    <row r="520" spans="8:27">
      <c r="H520" s="27"/>
      <c r="U520" s="3" t="str">
        <f t="shared" si="16"/>
        <v/>
      </c>
      <c r="AA520" s="3" t="str">
        <f t="shared" si="17"/>
        <v/>
      </c>
    </row>
    <row r="521" spans="8:27">
      <c r="H521" s="27"/>
      <c r="U521" s="3" t="str">
        <f t="shared" si="16"/>
        <v/>
      </c>
      <c r="AA521" s="3" t="str">
        <f t="shared" si="17"/>
        <v/>
      </c>
    </row>
    <row r="522" spans="8:27">
      <c r="H522" s="27"/>
      <c r="U522" s="3" t="str">
        <f t="shared" si="16"/>
        <v/>
      </c>
      <c r="AA522" s="3" t="str">
        <f t="shared" si="17"/>
        <v/>
      </c>
    </row>
    <row r="523" spans="8:27">
      <c r="H523" s="27"/>
      <c r="U523" s="3" t="str">
        <f t="shared" si="16"/>
        <v/>
      </c>
      <c r="AA523" s="3" t="str">
        <f t="shared" si="17"/>
        <v/>
      </c>
    </row>
    <row r="524" spans="8:27">
      <c r="H524" s="27"/>
      <c r="U524" s="3" t="str">
        <f t="shared" si="16"/>
        <v/>
      </c>
      <c r="AA524" s="3" t="str">
        <f t="shared" si="17"/>
        <v/>
      </c>
    </row>
    <row r="525" spans="8:27">
      <c r="H525" s="27"/>
      <c r="U525" s="3" t="str">
        <f t="shared" si="16"/>
        <v/>
      </c>
      <c r="AA525" s="3" t="str">
        <f t="shared" si="17"/>
        <v/>
      </c>
    </row>
    <row r="526" spans="8:27">
      <c r="H526" s="27"/>
      <c r="U526" s="3" t="str">
        <f t="shared" si="16"/>
        <v/>
      </c>
      <c r="AA526" s="3" t="str">
        <f t="shared" si="17"/>
        <v/>
      </c>
    </row>
    <row r="527" spans="8:27">
      <c r="H527" s="27"/>
      <c r="U527" s="3" t="str">
        <f t="shared" si="16"/>
        <v/>
      </c>
      <c r="AA527" s="3" t="str">
        <f t="shared" si="17"/>
        <v/>
      </c>
    </row>
    <row r="528" spans="8:27">
      <c r="H528" s="27"/>
      <c r="U528" s="3" t="str">
        <f t="shared" si="16"/>
        <v/>
      </c>
      <c r="AA528" s="3" t="str">
        <f t="shared" si="17"/>
        <v/>
      </c>
    </row>
    <row r="529" spans="8:27">
      <c r="H529" s="27"/>
      <c r="U529" s="3" t="str">
        <f t="shared" si="16"/>
        <v/>
      </c>
      <c r="AA529" s="3" t="str">
        <f t="shared" si="17"/>
        <v/>
      </c>
    </row>
    <row r="530" spans="8:27">
      <c r="H530" s="27"/>
      <c r="U530" s="3" t="str">
        <f t="shared" si="16"/>
        <v/>
      </c>
      <c r="AA530" s="3" t="str">
        <f t="shared" si="17"/>
        <v/>
      </c>
    </row>
    <row r="531" spans="8:27">
      <c r="H531" s="27"/>
      <c r="U531" s="3" t="str">
        <f t="shared" si="16"/>
        <v/>
      </c>
      <c r="AA531" s="3" t="str">
        <f t="shared" si="17"/>
        <v/>
      </c>
    </row>
    <row r="532" spans="8:27">
      <c r="H532" s="27"/>
      <c r="U532" s="3" t="str">
        <f t="shared" si="16"/>
        <v/>
      </c>
      <c r="AA532" s="3" t="str">
        <f t="shared" si="17"/>
        <v/>
      </c>
    </row>
    <row r="533" spans="8:27">
      <c r="H533" s="27"/>
      <c r="U533" s="3" t="str">
        <f t="shared" si="16"/>
        <v/>
      </c>
      <c r="AA533" s="3" t="str">
        <f t="shared" si="17"/>
        <v/>
      </c>
    </row>
    <row r="534" spans="8:27">
      <c r="H534" s="27"/>
      <c r="U534" s="3" t="str">
        <f t="shared" si="16"/>
        <v/>
      </c>
      <c r="AA534" s="3" t="str">
        <f t="shared" si="17"/>
        <v/>
      </c>
    </row>
    <row r="535" spans="8:27">
      <c r="H535" s="27"/>
      <c r="U535" s="3" t="str">
        <f t="shared" si="16"/>
        <v/>
      </c>
      <c r="AA535" s="3" t="str">
        <f t="shared" si="17"/>
        <v/>
      </c>
    </row>
    <row r="536" spans="8:27">
      <c r="H536" s="27"/>
      <c r="U536" s="3" t="str">
        <f t="shared" si="16"/>
        <v/>
      </c>
      <c r="AA536" s="3" t="str">
        <f t="shared" si="17"/>
        <v/>
      </c>
    </row>
    <row r="537" spans="8:27">
      <c r="H537" s="27"/>
      <c r="U537" s="3" t="str">
        <f t="shared" si="16"/>
        <v/>
      </c>
      <c r="AA537" s="3" t="str">
        <f t="shared" si="17"/>
        <v/>
      </c>
    </row>
    <row r="538" spans="8:27">
      <c r="H538" s="27"/>
      <c r="U538" s="3" t="str">
        <f t="shared" si="16"/>
        <v/>
      </c>
      <c r="AA538" s="3" t="str">
        <f t="shared" si="17"/>
        <v/>
      </c>
    </row>
    <row r="539" spans="8:27">
      <c r="H539" s="27"/>
      <c r="U539" s="3" t="str">
        <f t="shared" si="16"/>
        <v/>
      </c>
      <c r="AA539" s="3" t="str">
        <f t="shared" si="17"/>
        <v/>
      </c>
    </row>
    <row r="540" spans="8:27">
      <c r="H540" s="27"/>
      <c r="U540" s="3" t="str">
        <f t="shared" si="16"/>
        <v/>
      </c>
      <c r="AA540" s="3" t="str">
        <f t="shared" si="17"/>
        <v/>
      </c>
    </row>
    <row r="541" spans="8:27">
      <c r="H541" s="27"/>
      <c r="U541" s="3" t="str">
        <f t="shared" si="16"/>
        <v/>
      </c>
      <c r="AA541" s="3" t="str">
        <f t="shared" si="17"/>
        <v/>
      </c>
    </row>
    <row r="542" spans="8:27">
      <c r="H542" s="27"/>
      <c r="U542" s="3" t="str">
        <f t="shared" si="16"/>
        <v/>
      </c>
      <c r="AA542" s="3" t="str">
        <f t="shared" si="17"/>
        <v/>
      </c>
    </row>
    <row r="543" spans="8:27">
      <c r="H543" s="27"/>
      <c r="U543" s="3" t="str">
        <f t="shared" si="16"/>
        <v/>
      </c>
      <c r="AA543" s="3" t="str">
        <f t="shared" si="17"/>
        <v/>
      </c>
    </row>
    <row r="544" spans="8:27">
      <c r="H544" s="27"/>
      <c r="U544" s="3" t="str">
        <f t="shared" si="16"/>
        <v/>
      </c>
      <c r="AA544" s="3" t="str">
        <f t="shared" si="17"/>
        <v/>
      </c>
    </row>
    <row r="545" spans="8:27">
      <c r="H545" s="27"/>
      <c r="U545" s="3" t="str">
        <f t="shared" si="16"/>
        <v/>
      </c>
      <c r="AA545" s="3" t="str">
        <f t="shared" si="17"/>
        <v/>
      </c>
    </row>
    <row r="546" spans="8:27">
      <c r="H546" s="27"/>
      <c r="U546" s="3" t="str">
        <f t="shared" si="16"/>
        <v/>
      </c>
      <c r="AA546" s="3" t="str">
        <f t="shared" si="17"/>
        <v/>
      </c>
    </row>
    <row r="547" spans="8:27">
      <c r="H547" s="27"/>
      <c r="U547" s="3" t="str">
        <f t="shared" si="16"/>
        <v/>
      </c>
      <c r="AA547" s="3" t="str">
        <f t="shared" si="17"/>
        <v/>
      </c>
    </row>
    <row r="548" spans="8:27">
      <c r="H548" s="27"/>
      <c r="U548" s="3" t="str">
        <f t="shared" si="16"/>
        <v/>
      </c>
      <c r="AA548" s="3" t="str">
        <f t="shared" si="17"/>
        <v/>
      </c>
    </row>
    <row r="549" spans="8:27">
      <c r="H549" s="27"/>
      <c r="U549" s="3" t="str">
        <f t="shared" si="16"/>
        <v/>
      </c>
      <c r="AA549" s="3" t="str">
        <f t="shared" si="17"/>
        <v/>
      </c>
    </row>
    <row r="550" spans="8:27">
      <c r="H550" s="27"/>
      <c r="U550" s="3" t="str">
        <f t="shared" si="16"/>
        <v/>
      </c>
      <c r="AA550" s="3" t="str">
        <f t="shared" si="17"/>
        <v/>
      </c>
    </row>
    <row r="551" spans="8:27">
      <c r="H551" s="27"/>
      <c r="U551" s="3" t="str">
        <f t="shared" si="16"/>
        <v/>
      </c>
      <c r="AA551" s="3" t="str">
        <f t="shared" si="17"/>
        <v/>
      </c>
    </row>
    <row r="552" spans="8:27">
      <c r="H552" s="27"/>
      <c r="U552" s="3" t="str">
        <f t="shared" si="16"/>
        <v/>
      </c>
      <c r="AA552" s="3" t="str">
        <f t="shared" si="17"/>
        <v/>
      </c>
    </row>
    <row r="553" spans="8:27">
      <c r="H553" s="27"/>
      <c r="U553" s="3" t="str">
        <f t="shared" si="16"/>
        <v/>
      </c>
      <c r="AA553" s="3" t="str">
        <f t="shared" si="17"/>
        <v/>
      </c>
    </row>
    <row r="554" spans="8:27">
      <c r="H554" s="27"/>
      <c r="U554" s="3" t="str">
        <f t="shared" si="16"/>
        <v/>
      </c>
      <c r="AA554" s="3" t="str">
        <f t="shared" si="17"/>
        <v/>
      </c>
    </row>
    <row r="555" spans="8:27">
      <c r="H555" s="27"/>
      <c r="U555" s="3" t="str">
        <f t="shared" si="16"/>
        <v/>
      </c>
      <c r="AA555" s="3" t="str">
        <f t="shared" si="17"/>
        <v/>
      </c>
    </row>
    <row r="556" spans="8:27">
      <c r="H556" s="27"/>
      <c r="U556" s="3" t="str">
        <f t="shared" si="16"/>
        <v/>
      </c>
      <c r="AA556" s="3" t="str">
        <f t="shared" si="17"/>
        <v/>
      </c>
    </row>
    <row r="557" spans="8:27">
      <c r="H557" s="27"/>
      <c r="U557" s="3" t="str">
        <f t="shared" si="16"/>
        <v/>
      </c>
      <c r="AA557" s="3" t="str">
        <f t="shared" si="17"/>
        <v/>
      </c>
    </row>
    <row r="558" spans="8:27">
      <c r="H558" s="27"/>
      <c r="U558" s="3" t="str">
        <f t="shared" si="16"/>
        <v/>
      </c>
      <c r="AA558" s="3" t="str">
        <f t="shared" si="17"/>
        <v/>
      </c>
    </row>
    <row r="559" spans="8:27">
      <c r="H559" s="27"/>
      <c r="U559" s="3" t="str">
        <f t="shared" si="16"/>
        <v/>
      </c>
      <c r="AA559" s="3" t="str">
        <f t="shared" si="17"/>
        <v/>
      </c>
    </row>
    <row r="560" spans="8:27">
      <c r="H560" s="27"/>
      <c r="U560" s="3" t="str">
        <f t="shared" si="16"/>
        <v/>
      </c>
      <c r="AA560" s="3" t="str">
        <f t="shared" si="17"/>
        <v/>
      </c>
    </row>
    <row r="561" spans="8:27">
      <c r="H561" s="27"/>
      <c r="U561" s="3" t="str">
        <f t="shared" si="16"/>
        <v/>
      </c>
      <c r="AA561" s="3" t="str">
        <f t="shared" si="17"/>
        <v/>
      </c>
    </row>
    <row r="562" spans="8:27">
      <c r="H562" s="27"/>
      <c r="U562" s="3" t="str">
        <f t="shared" si="16"/>
        <v/>
      </c>
      <c r="AA562" s="3" t="str">
        <f t="shared" si="17"/>
        <v/>
      </c>
    </row>
    <row r="563" spans="8:27">
      <c r="H563" s="27"/>
      <c r="U563" s="3" t="str">
        <f t="shared" si="16"/>
        <v/>
      </c>
      <c r="AA563" s="3" t="str">
        <f t="shared" si="17"/>
        <v/>
      </c>
    </row>
    <row r="564" spans="8:27">
      <c r="H564" s="27"/>
      <c r="U564" s="3" t="str">
        <f t="shared" si="16"/>
        <v/>
      </c>
      <c r="AA564" s="3" t="str">
        <f t="shared" si="17"/>
        <v/>
      </c>
    </row>
    <row r="565" spans="8:27">
      <c r="H565" s="27"/>
      <c r="U565" s="3" t="str">
        <f t="shared" si="16"/>
        <v/>
      </c>
      <c r="AA565" s="3" t="str">
        <f t="shared" si="17"/>
        <v/>
      </c>
    </row>
    <row r="566" spans="8:27">
      <c r="H566" s="27"/>
      <c r="U566" s="3" t="str">
        <f t="shared" si="16"/>
        <v/>
      </c>
      <c r="AA566" s="3" t="str">
        <f t="shared" si="17"/>
        <v/>
      </c>
    </row>
    <row r="567" spans="8:27">
      <c r="H567" s="27"/>
      <c r="U567" s="3" t="str">
        <f t="shared" si="16"/>
        <v/>
      </c>
      <c r="AA567" s="3" t="str">
        <f t="shared" si="17"/>
        <v/>
      </c>
    </row>
    <row r="568" spans="8:27">
      <c r="H568" s="27"/>
      <c r="U568" s="3" t="str">
        <f t="shared" si="16"/>
        <v/>
      </c>
      <c r="AA568" s="3" t="str">
        <f t="shared" si="17"/>
        <v/>
      </c>
    </row>
    <row r="569" spans="8:27">
      <c r="H569" s="27"/>
      <c r="U569" s="3" t="str">
        <f t="shared" si="16"/>
        <v/>
      </c>
      <c r="AA569" s="3" t="str">
        <f t="shared" si="17"/>
        <v/>
      </c>
    </row>
    <row r="570" spans="8:27">
      <c r="H570" s="27"/>
      <c r="U570" s="3" t="str">
        <f t="shared" si="16"/>
        <v/>
      </c>
      <c r="AA570" s="3" t="str">
        <f t="shared" si="17"/>
        <v/>
      </c>
    </row>
    <row r="571" spans="8:27">
      <c r="H571" s="27"/>
      <c r="U571" s="3" t="str">
        <f t="shared" si="16"/>
        <v/>
      </c>
      <c r="AA571" s="3" t="str">
        <f t="shared" si="17"/>
        <v/>
      </c>
    </row>
    <row r="572" spans="8:27">
      <c r="H572" s="27"/>
      <c r="U572" s="3" t="str">
        <f t="shared" si="16"/>
        <v/>
      </c>
      <c r="AA572" s="3" t="str">
        <f t="shared" si="17"/>
        <v/>
      </c>
    </row>
    <row r="573" spans="8:27">
      <c r="H573" s="27"/>
      <c r="U573" s="3" t="str">
        <f t="shared" si="16"/>
        <v/>
      </c>
      <c r="AA573" s="3" t="str">
        <f t="shared" si="17"/>
        <v/>
      </c>
    </row>
    <row r="574" spans="8:27">
      <c r="H574" s="27"/>
      <c r="U574" s="3" t="str">
        <f t="shared" si="16"/>
        <v/>
      </c>
      <c r="AA574" s="3" t="str">
        <f t="shared" si="17"/>
        <v/>
      </c>
    </row>
    <row r="575" spans="8:27">
      <c r="H575" s="27"/>
      <c r="U575" s="3" t="str">
        <f t="shared" si="16"/>
        <v/>
      </c>
      <c r="AA575" s="3" t="str">
        <f t="shared" si="17"/>
        <v/>
      </c>
    </row>
    <row r="576" spans="8:27">
      <c r="H576" s="27"/>
      <c r="U576" s="3" t="str">
        <f t="shared" si="16"/>
        <v/>
      </c>
      <c r="AA576" s="3" t="str">
        <f t="shared" si="17"/>
        <v/>
      </c>
    </row>
    <row r="577" spans="8:27">
      <c r="H577" s="27"/>
      <c r="U577" s="3" t="str">
        <f t="shared" si="16"/>
        <v/>
      </c>
      <c r="AA577" s="3" t="str">
        <f t="shared" si="17"/>
        <v/>
      </c>
    </row>
    <row r="578" spans="8:27">
      <c r="H578" s="27"/>
      <c r="U578" s="3" t="str">
        <f t="shared" si="16"/>
        <v/>
      </c>
      <c r="AA578" s="3" t="str">
        <f t="shared" si="17"/>
        <v/>
      </c>
    </row>
    <row r="579" spans="8:27">
      <c r="H579" s="27"/>
      <c r="U579" s="3" t="str">
        <f t="shared" si="16"/>
        <v/>
      </c>
      <c r="AA579" s="3" t="str">
        <f t="shared" si="17"/>
        <v/>
      </c>
    </row>
    <row r="580" spans="8:27">
      <c r="H580" s="27"/>
      <c r="U580" s="3" t="str">
        <f t="shared" si="16"/>
        <v/>
      </c>
      <c r="AA580" s="3" t="str">
        <f t="shared" si="17"/>
        <v/>
      </c>
    </row>
    <row r="581" spans="8:27">
      <c r="H581" s="27"/>
      <c r="U581" s="3" t="str">
        <f t="shared" si="16"/>
        <v/>
      </c>
      <c r="AA581" s="3" t="str">
        <f t="shared" si="17"/>
        <v/>
      </c>
    </row>
    <row r="582" spans="8:27">
      <c r="H582" s="27"/>
      <c r="U582" s="3" t="str">
        <f t="shared" ref="U582:U645" si="18">IF(S582="","",IF(T582="","",H582))</f>
        <v/>
      </c>
      <c r="AA582" s="3" t="str">
        <f t="shared" ref="AA582:AA645" si="19">IF(V582="","",IF(X582="","",H582))</f>
        <v/>
      </c>
    </row>
    <row r="583" spans="8:27">
      <c r="H583" s="27"/>
      <c r="U583" s="3" t="str">
        <f t="shared" si="18"/>
        <v/>
      </c>
      <c r="AA583" s="3" t="str">
        <f t="shared" si="19"/>
        <v/>
      </c>
    </row>
    <row r="584" spans="8:27">
      <c r="H584" s="27"/>
      <c r="U584" s="3" t="str">
        <f t="shared" si="18"/>
        <v/>
      </c>
      <c r="AA584" s="3" t="str">
        <f t="shared" si="19"/>
        <v/>
      </c>
    </row>
    <row r="585" spans="8:27">
      <c r="H585" s="27"/>
      <c r="U585" s="3" t="str">
        <f t="shared" si="18"/>
        <v/>
      </c>
      <c r="AA585" s="3" t="str">
        <f t="shared" si="19"/>
        <v/>
      </c>
    </row>
    <row r="586" spans="8:27">
      <c r="H586" s="27"/>
      <c r="U586" s="3" t="str">
        <f t="shared" si="18"/>
        <v/>
      </c>
      <c r="AA586" s="3" t="str">
        <f t="shared" si="19"/>
        <v/>
      </c>
    </row>
    <row r="587" spans="8:27">
      <c r="H587" s="27"/>
      <c r="U587" s="3" t="str">
        <f t="shared" si="18"/>
        <v/>
      </c>
      <c r="AA587" s="3" t="str">
        <f t="shared" si="19"/>
        <v/>
      </c>
    </row>
    <row r="588" spans="8:27">
      <c r="H588" s="27"/>
      <c r="U588" s="3" t="str">
        <f t="shared" si="18"/>
        <v/>
      </c>
      <c r="AA588" s="3" t="str">
        <f t="shared" si="19"/>
        <v/>
      </c>
    </row>
    <row r="589" spans="8:27">
      <c r="H589" s="27"/>
      <c r="U589" s="3" t="str">
        <f t="shared" si="18"/>
        <v/>
      </c>
      <c r="AA589" s="3" t="str">
        <f t="shared" si="19"/>
        <v/>
      </c>
    </row>
    <row r="590" spans="8:27">
      <c r="H590" s="27"/>
      <c r="U590" s="3" t="str">
        <f t="shared" si="18"/>
        <v/>
      </c>
      <c r="AA590" s="3" t="str">
        <f t="shared" si="19"/>
        <v/>
      </c>
    </row>
    <row r="591" spans="8:27">
      <c r="H591" s="27"/>
      <c r="U591" s="3" t="str">
        <f t="shared" si="18"/>
        <v/>
      </c>
      <c r="AA591" s="3" t="str">
        <f t="shared" si="19"/>
        <v/>
      </c>
    </row>
    <row r="592" spans="8:27">
      <c r="H592" s="27"/>
      <c r="U592" s="3" t="str">
        <f t="shared" si="18"/>
        <v/>
      </c>
      <c r="AA592" s="3" t="str">
        <f t="shared" si="19"/>
        <v/>
      </c>
    </row>
    <row r="593" spans="8:27">
      <c r="H593" s="27"/>
      <c r="U593" s="3" t="str">
        <f t="shared" si="18"/>
        <v/>
      </c>
      <c r="AA593" s="3" t="str">
        <f t="shared" si="19"/>
        <v/>
      </c>
    </row>
    <row r="594" spans="8:27">
      <c r="H594" s="27"/>
      <c r="U594" s="3" t="str">
        <f t="shared" si="18"/>
        <v/>
      </c>
      <c r="AA594" s="3" t="str">
        <f t="shared" si="19"/>
        <v/>
      </c>
    </row>
    <row r="595" spans="8:27">
      <c r="H595" s="27"/>
      <c r="U595" s="3" t="str">
        <f t="shared" si="18"/>
        <v/>
      </c>
      <c r="AA595" s="3" t="str">
        <f t="shared" si="19"/>
        <v/>
      </c>
    </row>
    <row r="596" spans="8:27">
      <c r="H596" s="27"/>
      <c r="U596" s="3" t="str">
        <f t="shared" si="18"/>
        <v/>
      </c>
      <c r="AA596" s="3" t="str">
        <f t="shared" si="19"/>
        <v/>
      </c>
    </row>
    <row r="597" spans="8:27">
      <c r="H597" s="27"/>
      <c r="U597" s="3" t="str">
        <f t="shared" si="18"/>
        <v/>
      </c>
      <c r="AA597" s="3" t="str">
        <f t="shared" si="19"/>
        <v/>
      </c>
    </row>
    <row r="598" spans="8:27">
      <c r="H598" s="27"/>
      <c r="U598" s="3" t="str">
        <f t="shared" si="18"/>
        <v/>
      </c>
      <c r="AA598" s="3" t="str">
        <f t="shared" si="19"/>
        <v/>
      </c>
    </row>
    <row r="599" spans="8:27">
      <c r="H599" s="27"/>
      <c r="U599" s="3" t="str">
        <f t="shared" si="18"/>
        <v/>
      </c>
      <c r="AA599" s="3" t="str">
        <f t="shared" si="19"/>
        <v/>
      </c>
    </row>
    <row r="600" spans="8:27">
      <c r="H600" s="27"/>
      <c r="U600" s="3" t="str">
        <f t="shared" si="18"/>
        <v/>
      </c>
      <c r="AA600" s="3" t="str">
        <f t="shared" si="19"/>
        <v/>
      </c>
    </row>
    <row r="601" spans="8:27">
      <c r="H601" s="27"/>
      <c r="U601" s="3" t="str">
        <f t="shared" si="18"/>
        <v/>
      </c>
      <c r="AA601" s="3" t="str">
        <f t="shared" si="19"/>
        <v/>
      </c>
    </row>
    <row r="602" spans="8:27">
      <c r="H602" s="27"/>
      <c r="U602" s="3" t="str">
        <f t="shared" si="18"/>
        <v/>
      </c>
      <c r="AA602" s="3" t="str">
        <f t="shared" si="19"/>
        <v/>
      </c>
    </row>
    <row r="603" spans="8:27">
      <c r="H603" s="27"/>
      <c r="U603" s="3" t="str">
        <f t="shared" si="18"/>
        <v/>
      </c>
      <c r="AA603" s="3" t="str">
        <f t="shared" si="19"/>
        <v/>
      </c>
    </row>
    <row r="604" spans="8:27">
      <c r="H604" s="27"/>
      <c r="U604" s="3" t="str">
        <f t="shared" si="18"/>
        <v/>
      </c>
      <c r="AA604" s="3" t="str">
        <f t="shared" si="19"/>
        <v/>
      </c>
    </row>
    <row r="605" spans="8:27">
      <c r="H605" s="27"/>
      <c r="U605" s="3" t="str">
        <f t="shared" si="18"/>
        <v/>
      </c>
      <c r="AA605" s="3" t="str">
        <f t="shared" si="19"/>
        <v/>
      </c>
    </row>
    <row r="606" spans="8:27">
      <c r="H606" s="27"/>
      <c r="U606" s="3" t="str">
        <f t="shared" si="18"/>
        <v/>
      </c>
      <c r="AA606" s="3" t="str">
        <f t="shared" si="19"/>
        <v/>
      </c>
    </row>
    <row r="607" spans="8:27">
      <c r="H607" s="27"/>
      <c r="U607" s="3" t="str">
        <f t="shared" si="18"/>
        <v/>
      </c>
      <c r="AA607" s="3" t="str">
        <f t="shared" si="19"/>
        <v/>
      </c>
    </row>
    <row r="608" spans="8:27">
      <c r="H608" s="27"/>
      <c r="U608" s="3" t="str">
        <f t="shared" si="18"/>
        <v/>
      </c>
      <c r="AA608" s="3" t="str">
        <f t="shared" si="19"/>
        <v/>
      </c>
    </row>
    <row r="609" spans="8:27">
      <c r="H609" s="27"/>
      <c r="U609" s="3" t="str">
        <f t="shared" si="18"/>
        <v/>
      </c>
      <c r="AA609" s="3" t="str">
        <f t="shared" si="19"/>
        <v/>
      </c>
    </row>
    <row r="610" spans="8:27">
      <c r="H610" s="27"/>
      <c r="U610" s="3" t="str">
        <f t="shared" si="18"/>
        <v/>
      </c>
      <c r="AA610" s="3" t="str">
        <f t="shared" si="19"/>
        <v/>
      </c>
    </row>
    <row r="611" spans="8:27">
      <c r="H611" s="27"/>
      <c r="U611" s="3" t="str">
        <f t="shared" si="18"/>
        <v/>
      </c>
      <c r="AA611" s="3" t="str">
        <f t="shared" si="19"/>
        <v/>
      </c>
    </row>
    <row r="612" spans="8:27">
      <c r="H612" s="27"/>
      <c r="U612" s="3" t="str">
        <f t="shared" si="18"/>
        <v/>
      </c>
      <c r="AA612" s="3" t="str">
        <f t="shared" si="19"/>
        <v/>
      </c>
    </row>
    <row r="613" spans="8:27">
      <c r="H613" s="27"/>
      <c r="U613" s="3" t="str">
        <f t="shared" si="18"/>
        <v/>
      </c>
      <c r="AA613" s="3" t="str">
        <f t="shared" si="19"/>
        <v/>
      </c>
    </row>
    <row r="614" spans="8:27">
      <c r="H614" s="27"/>
      <c r="U614" s="3" t="str">
        <f t="shared" si="18"/>
        <v/>
      </c>
      <c r="AA614" s="3" t="str">
        <f t="shared" si="19"/>
        <v/>
      </c>
    </row>
    <row r="615" spans="8:27">
      <c r="H615" s="27"/>
      <c r="U615" s="3" t="str">
        <f t="shared" si="18"/>
        <v/>
      </c>
      <c r="AA615" s="3" t="str">
        <f t="shared" si="19"/>
        <v/>
      </c>
    </row>
    <row r="616" spans="8:27">
      <c r="H616" s="27"/>
      <c r="U616" s="3" t="str">
        <f t="shared" si="18"/>
        <v/>
      </c>
      <c r="AA616" s="3" t="str">
        <f t="shared" si="19"/>
        <v/>
      </c>
    </row>
    <row r="617" spans="8:27">
      <c r="H617" s="27"/>
      <c r="U617" s="3" t="str">
        <f t="shared" si="18"/>
        <v/>
      </c>
      <c r="AA617" s="3" t="str">
        <f t="shared" si="19"/>
        <v/>
      </c>
    </row>
    <row r="618" spans="8:27">
      <c r="H618" s="27"/>
      <c r="U618" s="3" t="str">
        <f t="shared" si="18"/>
        <v/>
      </c>
      <c r="AA618" s="3" t="str">
        <f t="shared" si="19"/>
        <v/>
      </c>
    </row>
    <row r="619" spans="8:27">
      <c r="H619" s="27"/>
      <c r="U619" s="3" t="str">
        <f t="shared" si="18"/>
        <v/>
      </c>
      <c r="AA619" s="3" t="str">
        <f t="shared" si="19"/>
        <v/>
      </c>
    </row>
    <row r="620" spans="8:27">
      <c r="H620" s="27"/>
      <c r="U620" s="3" t="str">
        <f t="shared" si="18"/>
        <v/>
      </c>
      <c r="AA620" s="3" t="str">
        <f t="shared" si="19"/>
        <v/>
      </c>
    </row>
    <row r="621" spans="8:27">
      <c r="H621" s="27"/>
      <c r="U621" s="3" t="str">
        <f t="shared" si="18"/>
        <v/>
      </c>
      <c r="AA621" s="3" t="str">
        <f t="shared" si="19"/>
        <v/>
      </c>
    </row>
    <row r="622" spans="8:27">
      <c r="H622" s="27"/>
      <c r="U622" s="3" t="str">
        <f t="shared" si="18"/>
        <v/>
      </c>
      <c r="AA622" s="3" t="str">
        <f t="shared" si="19"/>
        <v/>
      </c>
    </row>
    <row r="623" spans="8:27">
      <c r="H623" s="27"/>
      <c r="U623" s="3" t="str">
        <f t="shared" si="18"/>
        <v/>
      </c>
      <c r="AA623" s="3" t="str">
        <f t="shared" si="19"/>
        <v/>
      </c>
    </row>
    <row r="624" spans="8:27">
      <c r="H624" s="27"/>
      <c r="U624" s="3" t="str">
        <f t="shared" si="18"/>
        <v/>
      </c>
      <c r="AA624" s="3" t="str">
        <f t="shared" si="19"/>
        <v/>
      </c>
    </row>
    <row r="625" spans="8:27">
      <c r="H625" s="27"/>
      <c r="U625" s="3" t="str">
        <f t="shared" si="18"/>
        <v/>
      </c>
      <c r="AA625" s="3" t="str">
        <f t="shared" si="19"/>
        <v/>
      </c>
    </row>
    <row r="626" spans="8:27">
      <c r="H626" s="27"/>
      <c r="U626" s="3" t="str">
        <f t="shared" si="18"/>
        <v/>
      </c>
      <c r="AA626" s="3" t="str">
        <f t="shared" si="19"/>
        <v/>
      </c>
    </row>
    <row r="627" spans="8:27">
      <c r="H627" s="27"/>
      <c r="U627" s="3" t="str">
        <f t="shared" si="18"/>
        <v/>
      </c>
      <c r="AA627" s="3" t="str">
        <f t="shared" si="19"/>
        <v/>
      </c>
    </row>
    <row r="628" spans="8:27">
      <c r="H628" s="27"/>
      <c r="U628" s="3" t="str">
        <f t="shared" si="18"/>
        <v/>
      </c>
      <c r="AA628" s="3" t="str">
        <f t="shared" si="19"/>
        <v/>
      </c>
    </row>
    <row r="629" spans="8:27">
      <c r="H629" s="27"/>
      <c r="U629" s="3" t="str">
        <f t="shared" si="18"/>
        <v/>
      </c>
      <c r="AA629" s="3" t="str">
        <f t="shared" si="19"/>
        <v/>
      </c>
    </row>
    <row r="630" spans="8:27">
      <c r="H630" s="27"/>
      <c r="U630" s="3" t="str">
        <f t="shared" si="18"/>
        <v/>
      </c>
      <c r="AA630" s="3" t="str">
        <f t="shared" si="19"/>
        <v/>
      </c>
    </row>
    <row r="631" spans="8:27">
      <c r="H631" s="27"/>
      <c r="U631" s="3" t="str">
        <f t="shared" si="18"/>
        <v/>
      </c>
      <c r="AA631" s="3" t="str">
        <f t="shared" si="19"/>
        <v/>
      </c>
    </row>
    <row r="632" spans="8:27">
      <c r="H632" s="27"/>
      <c r="U632" s="3" t="str">
        <f t="shared" si="18"/>
        <v/>
      </c>
      <c r="AA632" s="3" t="str">
        <f t="shared" si="19"/>
        <v/>
      </c>
    </row>
    <row r="633" spans="8:27">
      <c r="H633" s="27"/>
      <c r="U633" s="3" t="str">
        <f t="shared" si="18"/>
        <v/>
      </c>
      <c r="AA633" s="3" t="str">
        <f t="shared" si="19"/>
        <v/>
      </c>
    </row>
    <row r="634" spans="8:27">
      <c r="H634" s="27"/>
      <c r="U634" s="3" t="str">
        <f t="shared" si="18"/>
        <v/>
      </c>
      <c r="AA634" s="3" t="str">
        <f t="shared" si="19"/>
        <v/>
      </c>
    </row>
    <row r="635" spans="8:27">
      <c r="H635" s="27"/>
      <c r="U635" s="3" t="str">
        <f t="shared" si="18"/>
        <v/>
      </c>
      <c r="AA635" s="3" t="str">
        <f t="shared" si="19"/>
        <v/>
      </c>
    </row>
    <row r="636" spans="8:27">
      <c r="H636" s="27"/>
      <c r="U636" s="3" t="str">
        <f t="shared" si="18"/>
        <v/>
      </c>
      <c r="AA636" s="3" t="str">
        <f t="shared" si="19"/>
        <v/>
      </c>
    </row>
    <row r="637" spans="8:27">
      <c r="H637" s="27"/>
      <c r="U637" s="3" t="str">
        <f t="shared" si="18"/>
        <v/>
      </c>
      <c r="AA637" s="3" t="str">
        <f t="shared" si="19"/>
        <v/>
      </c>
    </row>
    <row r="638" spans="8:27">
      <c r="H638" s="27"/>
      <c r="U638" s="3" t="str">
        <f t="shared" si="18"/>
        <v/>
      </c>
      <c r="AA638" s="3" t="str">
        <f t="shared" si="19"/>
        <v/>
      </c>
    </row>
    <row r="639" spans="8:27">
      <c r="H639" s="27"/>
      <c r="U639" s="3" t="str">
        <f t="shared" si="18"/>
        <v/>
      </c>
      <c r="AA639" s="3" t="str">
        <f t="shared" si="19"/>
        <v/>
      </c>
    </row>
    <row r="640" spans="8:27">
      <c r="H640" s="27"/>
      <c r="U640" s="3" t="str">
        <f t="shared" si="18"/>
        <v/>
      </c>
      <c r="AA640" s="3" t="str">
        <f t="shared" si="19"/>
        <v/>
      </c>
    </row>
    <row r="641" spans="8:27">
      <c r="H641" s="27"/>
      <c r="U641" s="3" t="str">
        <f t="shared" si="18"/>
        <v/>
      </c>
      <c r="AA641" s="3" t="str">
        <f t="shared" si="19"/>
        <v/>
      </c>
    </row>
    <row r="642" spans="8:27">
      <c r="H642" s="27"/>
      <c r="U642" s="3" t="str">
        <f t="shared" si="18"/>
        <v/>
      </c>
      <c r="AA642" s="3" t="str">
        <f t="shared" si="19"/>
        <v/>
      </c>
    </row>
    <row r="643" spans="8:27">
      <c r="H643" s="27"/>
      <c r="U643" s="3" t="str">
        <f t="shared" si="18"/>
        <v/>
      </c>
      <c r="AA643" s="3" t="str">
        <f t="shared" si="19"/>
        <v/>
      </c>
    </row>
    <row r="644" spans="8:27">
      <c r="H644" s="27"/>
      <c r="U644" s="3" t="str">
        <f t="shared" si="18"/>
        <v/>
      </c>
      <c r="AA644" s="3" t="str">
        <f t="shared" si="19"/>
        <v/>
      </c>
    </row>
    <row r="645" spans="8:27">
      <c r="H645" s="27"/>
      <c r="U645" s="3" t="str">
        <f t="shared" si="18"/>
        <v/>
      </c>
      <c r="AA645" s="3" t="str">
        <f t="shared" si="19"/>
        <v/>
      </c>
    </row>
    <row r="646" spans="8:27">
      <c r="H646" s="27"/>
      <c r="U646" s="3" t="str">
        <f t="shared" ref="U646:U709" si="20">IF(S646="","",IF(T646="","",H646))</f>
        <v/>
      </c>
      <c r="AA646" s="3" t="str">
        <f t="shared" ref="AA646:AA709" si="21">IF(V646="","",IF(X646="","",H646))</f>
        <v/>
      </c>
    </row>
    <row r="647" spans="8:27">
      <c r="H647" s="27"/>
      <c r="U647" s="3" t="str">
        <f t="shared" si="20"/>
        <v/>
      </c>
      <c r="AA647" s="3" t="str">
        <f t="shared" si="21"/>
        <v/>
      </c>
    </row>
    <row r="648" spans="8:27">
      <c r="H648" s="27"/>
      <c r="U648" s="3" t="str">
        <f t="shared" si="20"/>
        <v/>
      </c>
      <c r="AA648" s="3" t="str">
        <f t="shared" si="21"/>
        <v/>
      </c>
    </row>
    <row r="649" spans="8:27">
      <c r="H649" s="27"/>
      <c r="U649" s="3" t="str">
        <f t="shared" si="20"/>
        <v/>
      </c>
      <c r="AA649" s="3" t="str">
        <f t="shared" si="21"/>
        <v/>
      </c>
    </row>
    <row r="650" spans="8:27">
      <c r="H650" s="27"/>
      <c r="U650" s="3" t="str">
        <f t="shared" si="20"/>
        <v/>
      </c>
      <c r="AA650" s="3" t="str">
        <f t="shared" si="21"/>
        <v/>
      </c>
    </row>
    <row r="651" spans="8:27">
      <c r="H651" s="27"/>
      <c r="U651" s="3" t="str">
        <f t="shared" si="20"/>
        <v/>
      </c>
      <c r="AA651" s="3" t="str">
        <f t="shared" si="21"/>
        <v/>
      </c>
    </row>
    <row r="652" spans="8:27">
      <c r="H652" s="27"/>
      <c r="U652" s="3" t="str">
        <f t="shared" si="20"/>
        <v/>
      </c>
      <c r="AA652" s="3" t="str">
        <f t="shared" si="21"/>
        <v/>
      </c>
    </row>
    <row r="653" spans="8:27">
      <c r="H653" s="27"/>
      <c r="U653" s="3" t="str">
        <f t="shared" si="20"/>
        <v/>
      </c>
      <c r="AA653" s="3" t="str">
        <f t="shared" si="21"/>
        <v/>
      </c>
    </row>
    <row r="654" spans="8:27">
      <c r="H654" s="27"/>
      <c r="U654" s="3" t="str">
        <f t="shared" si="20"/>
        <v/>
      </c>
      <c r="AA654" s="3" t="str">
        <f t="shared" si="21"/>
        <v/>
      </c>
    </row>
    <row r="655" spans="8:27">
      <c r="H655" s="27"/>
      <c r="U655" s="3" t="str">
        <f t="shared" si="20"/>
        <v/>
      </c>
      <c r="AA655" s="3" t="str">
        <f t="shared" si="21"/>
        <v/>
      </c>
    </row>
    <row r="656" spans="8:27">
      <c r="H656" s="27"/>
      <c r="U656" s="3" t="str">
        <f t="shared" si="20"/>
        <v/>
      </c>
      <c r="AA656" s="3" t="str">
        <f t="shared" si="21"/>
        <v/>
      </c>
    </row>
    <row r="657" spans="8:27">
      <c r="H657" s="27"/>
      <c r="U657" s="3" t="str">
        <f t="shared" si="20"/>
        <v/>
      </c>
      <c r="AA657" s="3" t="str">
        <f t="shared" si="21"/>
        <v/>
      </c>
    </row>
    <row r="658" spans="8:27">
      <c r="H658" s="27"/>
      <c r="U658" s="3" t="str">
        <f t="shared" si="20"/>
        <v/>
      </c>
      <c r="AA658" s="3" t="str">
        <f t="shared" si="21"/>
        <v/>
      </c>
    </row>
    <row r="659" spans="8:27">
      <c r="H659" s="27"/>
      <c r="U659" s="3" t="str">
        <f t="shared" si="20"/>
        <v/>
      </c>
      <c r="AA659" s="3" t="str">
        <f t="shared" si="21"/>
        <v/>
      </c>
    </row>
    <row r="660" spans="8:27">
      <c r="H660" s="27"/>
      <c r="U660" s="3" t="str">
        <f t="shared" si="20"/>
        <v/>
      </c>
      <c r="AA660" s="3" t="str">
        <f t="shared" si="21"/>
        <v/>
      </c>
    </row>
    <row r="661" spans="8:27">
      <c r="H661" s="27"/>
      <c r="U661" s="3" t="str">
        <f t="shared" si="20"/>
        <v/>
      </c>
      <c r="AA661" s="3" t="str">
        <f t="shared" si="21"/>
        <v/>
      </c>
    </row>
    <row r="662" spans="8:27">
      <c r="H662" s="27"/>
      <c r="U662" s="3" t="str">
        <f t="shared" si="20"/>
        <v/>
      </c>
      <c r="AA662" s="3" t="str">
        <f t="shared" si="21"/>
        <v/>
      </c>
    </row>
    <row r="663" spans="8:27">
      <c r="H663" s="27"/>
      <c r="U663" s="3" t="str">
        <f t="shared" si="20"/>
        <v/>
      </c>
      <c r="AA663" s="3" t="str">
        <f t="shared" si="21"/>
        <v/>
      </c>
    </row>
    <row r="664" spans="8:27">
      <c r="H664" s="27"/>
      <c r="U664" s="3" t="str">
        <f t="shared" si="20"/>
        <v/>
      </c>
      <c r="AA664" s="3" t="str">
        <f t="shared" si="21"/>
        <v/>
      </c>
    </row>
    <row r="665" spans="8:27">
      <c r="H665" s="27"/>
      <c r="U665" s="3" t="str">
        <f t="shared" si="20"/>
        <v/>
      </c>
      <c r="AA665" s="3" t="str">
        <f t="shared" si="21"/>
        <v/>
      </c>
    </row>
    <row r="666" spans="8:27">
      <c r="H666" s="27"/>
      <c r="U666" s="3" t="str">
        <f t="shared" si="20"/>
        <v/>
      </c>
      <c r="AA666" s="3" t="str">
        <f t="shared" si="21"/>
        <v/>
      </c>
    </row>
    <row r="667" spans="8:27">
      <c r="H667" s="27"/>
      <c r="U667" s="3" t="str">
        <f t="shared" si="20"/>
        <v/>
      </c>
      <c r="AA667" s="3" t="str">
        <f t="shared" si="21"/>
        <v/>
      </c>
    </row>
    <row r="668" spans="8:27">
      <c r="H668" s="27"/>
      <c r="U668" s="3" t="str">
        <f t="shared" si="20"/>
        <v/>
      </c>
      <c r="AA668" s="3" t="str">
        <f t="shared" si="21"/>
        <v/>
      </c>
    </row>
    <row r="669" spans="8:27">
      <c r="H669" s="27"/>
      <c r="U669" s="3" t="str">
        <f t="shared" si="20"/>
        <v/>
      </c>
      <c r="AA669" s="3" t="str">
        <f t="shared" si="21"/>
        <v/>
      </c>
    </row>
    <row r="670" spans="8:27">
      <c r="H670" s="27"/>
      <c r="U670" s="3" t="str">
        <f t="shared" si="20"/>
        <v/>
      </c>
      <c r="AA670" s="3" t="str">
        <f t="shared" si="21"/>
        <v/>
      </c>
    </row>
    <row r="671" spans="8:27">
      <c r="H671" s="27"/>
      <c r="U671" s="3" t="str">
        <f t="shared" si="20"/>
        <v/>
      </c>
      <c r="AA671" s="3" t="str">
        <f t="shared" si="21"/>
        <v/>
      </c>
    </row>
    <row r="672" spans="8:27">
      <c r="H672" s="27"/>
      <c r="U672" s="3" t="str">
        <f t="shared" si="20"/>
        <v/>
      </c>
      <c r="AA672" s="3" t="str">
        <f t="shared" si="21"/>
        <v/>
      </c>
    </row>
    <row r="673" spans="8:27">
      <c r="H673" s="27"/>
      <c r="U673" s="3" t="str">
        <f t="shared" si="20"/>
        <v/>
      </c>
      <c r="AA673" s="3" t="str">
        <f t="shared" si="21"/>
        <v/>
      </c>
    </row>
    <row r="674" spans="8:27">
      <c r="H674" s="27"/>
      <c r="U674" s="3" t="str">
        <f t="shared" si="20"/>
        <v/>
      </c>
      <c r="AA674" s="3" t="str">
        <f t="shared" si="21"/>
        <v/>
      </c>
    </row>
    <row r="675" spans="8:27">
      <c r="H675" s="27"/>
      <c r="U675" s="3" t="str">
        <f t="shared" si="20"/>
        <v/>
      </c>
      <c r="AA675" s="3" t="str">
        <f t="shared" si="21"/>
        <v/>
      </c>
    </row>
    <row r="676" spans="8:27">
      <c r="H676" s="27"/>
      <c r="U676" s="3" t="str">
        <f t="shared" si="20"/>
        <v/>
      </c>
      <c r="AA676" s="3" t="str">
        <f t="shared" si="21"/>
        <v/>
      </c>
    </row>
    <row r="677" spans="8:27">
      <c r="H677" s="27"/>
      <c r="U677" s="3" t="str">
        <f t="shared" si="20"/>
        <v/>
      </c>
      <c r="AA677" s="3" t="str">
        <f t="shared" si="21"/>
        <v/>
      </c>
    </row>
    <row r="678" spans="8:27">
      <c r="H678" s="27"/>
      <c r="U678" s="3" t="str">
        <f t="shared" si="20"/>
        <v/>
      </c>
      <c r="AA678" s="3" t="str">
        <f t="shared" si="21"/>
        <v/>
      </c>
    </row>
    <row r="679" spans="8:27">
      <c r="H679" s="27"/>
      <c r="U679" s="3" t="str">
        <f t="shared" si="20"/>
        <v/>
      </c>
      <c r="AA679" s="3" t="str">
        <f t="shared" si="21"/>
        <v/>
      </c>
    </row>
    <row r="680" spans="8:27">
      <c r="H680" s="27"/>
      <c r="U680" s="3" t="str">
        <f t="shared" si="20"/>
        <v/>
      </c>
      <c r="AA680" s="3" t="str">
        <f t="shared" si="21"/>
        <v/>
      </c>
    </row>
    <row r="681" spans="8:27">
      <c r="H681" s="27"/>
      <c r="U681" s="3" t="str">
        <f t="shared" si="20"/>
        <v/>
      </c>
      <c r="AA681" s="3" t="str">
        <f t="shared" si="21"/>
        <v/>
      </c>
    </row>
    <row r="682" spans="8:27">
      <c r="H682" s="27"/>
      <c r="U682" s="3" t="str">
        <f t="shared" si="20"/>
        <v/>
      </c>
      <c r="AA682" s="3" t="str">
        <f t="shared" si="21"/>
        <v/>
      </c>
    </row>
    <row r="683" spans="8:27">
      <c r="H683" s="27"/>
      <c r="U683" s="3" t="str">
        <f t="shared" si="20"/>
        <v/>
      </c>
      <c r="AA683" s="3" t="str">
        <f t="shared" si="21"/>
        <v/>
      </c>
    </row>
    <row r="684" spans="8:27">
      <c r="H684" s="27"/>
      <c r="U684" s="3" t="str">
        <f t="shared" si="20"/>
        <v/>
      </c>
      <c r="AA684" s="3" t="str">
        <f t="shared" si="21"/>
        <v/>
      </c>
    </row>
    <row r="685" spans="8:27">
      <c r="H685" s="27"/>
      <c r="U685" s="3" t="str">
        <f t="shared" si="20"/>
        <v/>
      </c>
      <c r="AA685" s="3" t="str">
        <f t="shared" si="21"/>
        <v/>
      </c>
    </row>
    <row r="686" spans="8:27">
      <c r="H686" s="27"/>
      <c r="U686" s="3" t="str">
        <f t="shared" si="20"/>
        <v/>
      </c>
      <c r="AA686" s="3" t="str">
        <f t="shared" si="21"/>
        <v/>
      </c>
    </row>
    <row r="687" spans="8:27">
      <c r="H687" s="27"/>
      <c r="U687" s="3" t="str">
        <f t="shared" si="20"/>
        <v/>
      </c>
      <c r="AA687" s="3" t="str">
        <f t="shared" si="21"/>
        <v/>
      </c>
    </row>
    <row r="688" spans="8:27">
      <c r="H688" s="27"/>
      <c r="U688" s="3" t="str">
        <f t="shared" si="20"/>
        <v/>
      </c>
      <c r="AA688" s="3" t="str">
        <f t="shared" si="21"/>
        <v/>
      </c>
    </row>
    <row r="689" spans="8:27">
      <c r="H689" s="27"/>
      <c r="U689" s="3" t="str">
        <f t="shared" si="20"/>
        <v/>
      </c>
      <c r="AA689" s="3" t="str">
        <f t="shared" si="21"/>
        <v/>
      </c>
    </row>
    <row r="690" spans="8:27">
      <c r="H690" s="27"/>
      <c r="U690" s="3" t="str">
        <f t="shared" si="20"/>
        <v/>
      </c>
      <c r="AA690" s="3" t="str">
        <f t="shared" si="21"/>
        <v/>
      </c>
    </row>
    <row r="691" spans="8:27">
      <c r="H691" s="27"/>
      <c r="U691" s="3" t="str">
        <f t="shared" si="20"/>
        <v/>
      </c>
      <c r="AA691" s="3" t="str">
        <f t="shared" si="21"/>
        <v/>
      </c>
    </row>
    <row r="692" spans="8:27">
      <c r="H692" s="27"/>
      <c r="U692" s="3" t="str">
        <f t="shared" si="20"/>
        <v/>
      </c>
      <c r="AA692" s="3" t="str">
        <f t="shared" si="21"/>
        <v/>
      </c>
    </row>
    <row r="693" spans="8:27">
      <c r="H693" s="27"/>
      <c r="U693" s="3" t="str">
        <f t="shared" si="20"/>
        <v/>
      </c>
      <c r="AA693" s="3" t="str">
        <f t="shared" si="21"/>
        <v/>
      </c>
    </row>
    <row r="694" spans="8:27">
      <c r="H694" s="27"/>
      <c r="U694" s="3" t="str">
        <f t="shared" si="20"/>
        <v/>
      </c>
      <c r="AA694" s="3" t="str">
        <f t="shared" si="21"/>
        <v/>
      </c>
    </row>
    <row r="695" spans="8:27">
      <c r="H695" s="27"/>
      <c r="U695" s="3" t="str">
        <f t="shared" si="20"/>
        <v/>
      </c>
      <c r="AA695" s="3" t="str">
        <f t="shared" si="21"/>
        <v/>
      </c>
    </row>
    <row r="696" spans="8:27">
      <c r="H696" s="27"/>
      <c r="U696" s="3" t="str">
        <f t="shared" si="20"/>
        <v/>
      </c>
      <c r="AA696" s="3" t="str">
        <f t="shared" si="21"/>
        <v/>
      </c>
    </row>
    <row r="697" spans="8:27">
      <c r="H697" s="27"/>
      <c r="U697" s="3" t="str">
        <f t="shared" si="20"/>
        <v/>
      </c>
      <c r="AA697" s="3" t="str">
        <f t="shared" si="21"/>
        <v/>
      </c>
    </row>
    <row r="698" spans="8:27">
      <c r="H698" s="27"/>
      <c r="U698" s="3" t="str">
        <f t="shared" si="20"/>
        <v/>
      </c>
      <c r="AA698" s="3" t="str">
        <f t="shared" si="21"/>
        <v/>
      </c>
    </row>
    <row r="699" spans="8:27">
      <c r="H699" s="27"/>
      <c r="U699" s="3" t="str">
        <f t="shared" si="20"/>
        <v/>
      </c>
      <c r="AA699" s="3" t="str">
        <f t="shared" si="21"/>
        <v/>
      </c>
    </row>
    <row r="700" spans="8:27">
      <c r="H700" s="27"/>
      <c r="U700" s="3" t="str">
        <f t="shared" si="20"/>
        <v/>
      </c>
      <c r="AA700" s="3" t="str">
        <f t="shared" si="21"/>
        <v/>
      </c>
    </row>
    <row r="701" spans="8:27">
      <c r="H701" s="27"/>
      <c r="U701" s="3" t="str">
        <f t="shared" si="20"/>
        <v/>
      </c>
      <c r="AA701" s="3" t="str">
        <f t="shared" si="21"/>
        <v/>
      </c>
    </row>
    <row r="702" spans="8:27">
      <c r="H702" s="27"/>
      <c r="U702" s="3" t="str">
        <f t="shared" si="20"/>
        <v/>
      </c>
      <c r="AA702" s="3" t="str">
        <f t="shared" si="21"/>
        <v/>
      </c>
    </row>
    <row r="703" spans="8:27">
      <c r="H703" s="27"/>
      <c r="U703" s="3" t="str">
        <f t="shared" si="20"/>
        <v/>
      </c>
      <c r="AA703" s="3" t="str">
        <f t="shared" si="21"/>
        <v/>
      </c>
    </row>
    <row r="704" spans="8:27">
      <c r="H704" s="27"/>
      <c r="U704" s="3" t="str">
        <f t="shared" si="20"/>
        <v/>
      </c>
      <c r="AA704" s="3" t="str">
        <f t="shared" si="21"/>
        <v/>
      </c>
    </row>
    <row r="705" spans="8:27">
      <c r="H705" s="27"/>
      <c r="U705" s="3" t="str">
        <f t="shared" si="20"/>
        <v/>
      </c>
      <c r="AA705" s="3" t="str">
        <f t="shared" si="21"/>
        <v/>
      </c>
    </row>
    <row r="706" spans="8:27">
      <c r="H706" s="27"/>
      <c r="U706" s="3" t="str">
        <f t="shared" si="20"/>
        <v/>
      </c>
      <c r="AA706" s="3" t="str">
        <f t="shared" si="21"/>
        <v/>
      </c>
    </row>
    <row r="707" spans="8:27">
      <c r="H707" s="27"/>
      <c r="U707" s="3" t="str">
        <f t="shared" si="20"/>
        <v/>
      </c>
      <c r="AA707" s="3" t="str">
        <f t="shared" si="21"/>
        <v/>
      </c>
    </row>
    <row r="708" spans="8:27">
      <c r="H708" s="27"/>
      <c r="U708" s="3" t="str">
        <f t="shared" si="20"/>
        <v/>
      </c>
      <c r="AA708" s="3" t="str">
        <f t="shared" si="21"/>
        <v/>
      </c>
    </row>
    <row r="709" spans="8:27">
      <c r="H709" s="27"/>
      <c r="U709" s="3" t="str">
        <f t="shared" si="20"/>
        <v/>
      </c>
      <c r="AA709" s="3" t="str">
        <f t="shared" si="21"/>
        <v/>
      </c>
    </row>
    <row r="710" spans="8:27">
      <c r="H710" s="27"/>
      <c r="U710" s="3" t="str">
        <f t="shared" ref="U710:U773" si="22">IF(S710="","",IF(T710="","",H710))</f>
        <v/>
      </c>
      <c r="AA710" s="3" t="str">
        <f t="shared" ref="AA710:AA773" si="23">IF(V710="","",IF(X710="","",H710))</f>
        <v/>
      </c>
    </row>
    <row r="711" spans="8:27">
      <c r="H711" s="27"/>
      <c r="U711" s="3" t="str">
        <f t="shared" si="22"/>
        <v/>
      </c>
      <c r="AA711" s="3" t="str">
        <f t="shared" si="23"/>
        <v/>
      </c>
    </row>
    <row r="712" spans="8:27">
      <c r="H712" s="27"/>
      <c r="U712" s="3" t="str">
        <f t="shared" si="22"/>
        <v/>
      </c>
      <c r="AA712" s="3" t="str">
        <f t="shared" si="23"/>
        <v/>
      </c>
    </row>
    <row r="713" spans="8:27">
      <c r="H713" s="27"/>
      <c r="U713" s="3" t="str">
        <f t="shared" si="22"/>
        <v/>
      </c>
      <c r="AA713" s="3" t="str">
        <f t="shared" si="23"/>
        <v/>
      </c>
    </row>
    <row r="714" spans="8:27">
      <c r="H714" s="27"/>
      <c r="U714" s="3" t="str">
        <f t="shared" si="22"/>
        <v/>
      </c>
      <c r="AA714" s="3" t="str">
        <f t="shared" si="23"/>
        <v/>
      </c>
    </row>
    <row r="715" spans="8:27">
      <c r="H715" s="27"/>
      <c r="U715" s="3" t="str">
        <f t="shared" si="22"/>
        <v/>
      </c>
      <c r="AA715" s="3" t="str">
        <f t="shared" si="23"/>
        <v/>
      </c>
    </row>
    <row r="716" spans="8:27">
      <c r="H716" s="27"/>
      <c r="U716" s="3" t="str">
        <f t="shared" si="22"/>
        <v/>
      </c>
      <c r="AA716" s="3" t="str">
        <f t="shared" si="23"/>
        <v/>
      </c>
    </row>
    <row r="717" spans="8:27">
      <c r="H717" s="27"/>
      <c r="U717" s="3" t="str">
        <f t="shared" si="22"/>
        <v/>
      </c>
      <c r="AA717" s="3" t="str">
        <f t="shared" si="23"/>
        <v/>
      </c>
    </row>
    <row r="718" spans="8:27">
      <c r="H718" s="27"/>
      <c r="U718" s="3" t="str">
        <f t="shared" si="22"/>
        <v/>
      </c>
      <c r="AA718" s="3" t="str">
        <f t="shared" si="23"/>
        <v/>
      </c>
    </row>
    <row r="719" spans="8:27">
      <c r="H719" s="27"/>
      <c r="U719" s="3" t="str">
        <f t="shared" si="22"/>
        <v/>
      </c>
      <c r="AA719" s="3" t="str">
        <f t="shared" si="23"/>
        <v/>
      </c>
    </row>
    <row r="720" spans="8:27">
      <c r="H720" s="27"/>
      <c r="U720" s="3" t="str">
        <f t="shared" si="22"/>
        <v/>
      </c>
      <c r="AA720" s="3" t="str">
        <f t="shared" si="23"/>
        <v/>
      </c>
    </row>
    <row r="721" spans="8:27">
      <c r="H721" s="27"/>
      <c r="U721" s="3" t="str">
        <f t="shared" si="22"/>
        <v/>
      </c>
      <c r="AA721" s="3" t="str">
        <f t="shared" si="23"/>
        <v/>
      </c>
    </row>
    <row r="722" spans="8:27">
      <c r="H722" s="27"/>
      <c r="U722" s="3" t="str">
        <f t="shared" si="22"/>
        <v/>
      </c>
      <c r="AA722" s="3" t="str">
        <f t="shared" si="23"/>
        <v/>
      </c>
    </row>
    <row r="723" spans="8:27">
      <c r="H723" s="27"/>
      <c r="U723" s="3" t="str">
        <f t="shared" si="22"/>
        <v/>
      </c>
      <c r="AA723" s="3" t="str">
        <f t="shared" si="23"/>
        <v/>
      </c>
    </row>
    <row r="724" spans="8:27">
      <c r="H724" s="27"/>
      <c r="U724" s="3" t="str">
        <f t="shared" si="22"/>
        <v/>
      </c>
      <c r="AA724" s="3" t="str">
        <f t="shared" si="23"/>
        <v/>
      </c>
    </row>
    <row r="725" spans="8:27">
      <c r="H725" s="27"/>
      <c r="U725" s="3" t="str">
        <f t="shared" si="22"/>
        <v/>
      </c>
      <c r="AA725" s="3" t="str">
        <f t="shared" si="23"/>
        <v/>
      </c>
    </row>
    <row r="726" spans="8:27">
      <c r="H726" s="27"/>
      <c r="U726" s="3" t="str">
        <f t="shared" si="22"/>
        <v/>
      </c>
      <c r="AA726" s="3" t="str">
        <f t="shared" si="23"/>
        <v/>
      </c>
    </row>
    <row r="727" spans="8:27">
      <c r="H727" s="27"/>
      <c r="U727" s="3" t="str">
        <f t="shared" si="22"/>
        <v/>
      </c>
      <c r="AA727" s="3" t="str">
        <f t="shared" si="23"/>
        <v/>
      </c>
    </row>
    <row r="728" spans="8:27">
      <c r="H728" s="27"/>
      <c r="U728" s="3" t="str">
        <f t="shared" si="22"/>
        <v/>
      </c>
      <c r="AA728" s="3" t="str">
        <f t="shared" si="23"/>
        <v/>
      </c>
    </row>
    <row r="729" spans="8:27">
      <c r="H729" s="27"/>
      <c r="U729" s="3" t="str">
        <f t="shared" si="22"/>
        <v/>
      </c>
      <c r="AA729" s="3" t="str">
        <f t="shared" si="23"/>
        <v/>
      </c>
    </row>
    <row r="730" spans="8:27">
      <c r="H730" s="27"/>
      <c r="U730" s="3" t="str">
        <f t="shared" si="22"/>
        <v/>
      </c>
      <c r="AA730" s="3" t="str">
        <f t="shared" si="23"/>
        <v/>
      </c>
    </row>
    <row r="731" spans="8:27">
      <c r="H731" s="27"/>
      <c r="U731" s="3" t="str">
        <f t="shared" si="22"/>
        <v/>
      </c>
      <c r="AA731" s="3" t="str">
        <f t="shared" si="23"/>
        <v/>
      </c>
    </row>
    <row r="732" spans="8:27">
      <c r="H732" s="27"/>
      <c r="U732" s="3" t="str">
        <f t="shared" si="22"/>
        <v/>
      </c>
      <c r="AA732" s="3" t="str">
        <f t="shared" si="23"/>
        <v/>
      </c>
    </row>
    <row r="733" spans="8:27">
      <c r="H733" s="27"/>
      <c r="U733" s="3" t="str">
        <f t="shared" si="22"/>
        <v/>
      </c>
      <c r="AA733" s="3" t="str">
        <f t="shared" si="23"/>
        <v/>
      </c>
    </row>
    <row r="734" spans="8:27">
      <c r="H734" s="27"/>
      <c r="U734" s="3" t="str">
        <f t="shared" si="22"/>
        <v/>
      </c>
      <c r="AA734" s="3" t="str">
        <f t="shared" si="23"/>
        <v/>
      </c>
    </row>
    <row r="735" spans="8:27">
      <c r="H735" s="27"/>
      <c r="U735" s="3" t="str">
        <f t="shared" si="22"/>
        <v/>
      </c>
      <c r="AA735" s="3" t="str">
        <f t="shared" si="23"/>
        <v/>
      </c>
    </row>
    <row r="736" spans="8:27">
      <c r="H736" s="27"/>
      <c r="U736" s="3" t="str">
        <f t="shared" si="22"/>
        <v/>
      </c>
      <c r="AA736" s="3" t="str">
        <f t="shared" si="23"/>
        <v/>
      </c>
    </row>
    <row r="737" spans="8:27">
      <c r="H737" s="27"/>
      <c r="U737" s="3" t="str">
        <f t="shared" si="22"/>
        <v/>
      </c>
      <c r="AA737" s="3" t="str">
        <f t="shared" si="23"/>
        <v/>
      </c>
    </row>
    <row r="738" spans="8:27">
      <c r="H738" s="27"/>
      <c r="U738" s="3" t="str">
        <f t="shared" si="22"/>
        <v/>
      </c>
      <c r="AA738" s="3" t="str">
        <f t="shared" si="23"/>
        <v/>
      </c>
    </row>
    <row r="739" spans="8:27">
      <c r="H739" s="27"/>
      <c r="U739" s="3" t="str">
        <f t="shared" si="22"/>
        <v/>
      </c>
      <c r="AA739" s="3" t="str">
        <f t="shared" si="23"/>
        <v/>
      </c>
    </row>
    <row r="740" spans="8:27">
      <c r="H740" s="27"/>
      <c r="U740" s="3" t="str">
        <f t="shared" si="22"/>
        <v/>
      </c>
      <c r="AA740" s="3" t="str">
        <f t="shared" si="23"/>
        <v/>
      </c>
    </row>
    <row r="741" spans="8:27">
      <c r="H741" s="27"/>
      <c r="U741" s="3" t="str">
        <f t="shared" si="22"/>
        <v/>
      </c>
      <c r="AA741" s="3" t="str">
        <f t="shared" si="23"/>
        <v/>
      </c>
    </row>
    <row r="742" spans="8:27">
      <c r="H742" s="27"/>
      <c r="U742" s="3" t="str">
        <f t="shared" si="22"/>
        <v/>
      </c>
      <c r="AA742" s="3" t="str">
        <f t="shared" si="23"/>
        <v/>
      </c>
    </row>
    <row r="743" spans="8:27">
      <c r="H743" s="27"/>
      <c r="U743" s="3" t="str">
        <f t="shared" si="22"/>
        <v/>
      </c>
      <c r="AA743" s="3" t="str">
        <f t="shared" si="23"/>
        <v/>
      </c>
    </row>
    <row r="744" spans="8:27">
      <c r="H744" s="27"/>
      <c r="U744" s="3" t="str">
        <f t="shared" si="22"/>
        <v/>
      </c>
      <c r="AA744" s="3" t="str">
        <f t="shared" si="23"/>
        <v/>
      </c>
    </row>
    <row r="745" spans="8:27">
      <c r="H745" s="27"/>
      <c r="U745" s="3" t="str">
        <f t="shared" si="22"/>
        <v/>
      </c>
      <c r="AA745" s="3" t="str">
        <f t="shared" si="23"/>
        <v/>
      </c>
    </row>
    <row r="746" spans="8:27">
      <c r="H746" s="27"/>
      <c r="U746" s="3" t="str">
        <f t="shared" si="22"/>
        <v/>
      </c>
      <c r="AA746" s="3" t="str">
        <f t="shared" si="23"/>
        <v/>
      </c>
    </row>
    <row r="747" spans="8:27">
      <c r="H747" s="27"/>
      <c r="U747" s="3" t="str">
        <f t="shared" si="22"/>
        <v/>
      </c>
      <c r="AA747" s="3" t="str">
        <f t="shared" si="23"/>
        <v/>
      </c>
    </row>
    <row r="748" spans="8:27">
      <c r="H748" s="27"/>
      <c r="U748" s="3" t="str">
        <f t="shared" si="22"/>
        <v/>
      </c>
      <c r="AA748" s="3" t="str">
        <f t="shared" si="23"/>
        <v/>
      </c>
    </row>
    <row r="749" spans="8:27">
      <c r="H749" s="27"/>
      <c r="U749" s="3" t="str">
        <f t="shared" si="22"/>
        <v/>
      </c>
      <c r="AA749" s="3" t="str">
        <f t="shared" si="23"/>
        <v/>
      </c>
    </row>
    <row r="750" spans="8:27">
      <c r="H750" s="27"/>
      <c r="U750" s="3" t="str">
        <f t="shared" si="22"/>
        <v/>
      </c>
      <c r="AA750" s="3" t="str">
        <f t="shared" si="23"/>
        <v/>
      </c>
    </row>
    <row r="751" spans="8:27">
      <c r="H751" s="27"/>
      <c r="U751" s="3" t="str">
        <f t="shared" si="22"/>
        <v/>
      </c>
      <c r="AA751" s="3" t="str">
        <f t="shared" si="23"/>
        <v/>
      </c>
    </row>
    <row r="752" spans="8:27">
      <c r="H752" s="27"/>
      <c r="U752" s="3" t="str">
        <f t="shared" si="22"/>
        <v/>
      </c>
      <c r="AA752" s="3" t="str">
        <f t="shared" si="23"/>
        <v/>
      </c>
    </row>
    <row r="753" spans="8:27">
      <c r="H753" s="27"/>
      <c r="U753" s="3" t="str">
        <f t="shared" si="22"/>
        <v/>
      </c>
      <c r="AA753" s="3" t="str">
        <f t="shared" si="23"/>
        <v/>
      </c>
    </row>
    <row r="754" spans="8:27">
      <c r="H754" s="27"/>
      <c r="U754" s="3" t="str">
        <f t="shared" si="22"/>
        <v/>
      </c>
      <c r="AA754" s="3" t="str">
        <f t="shared" si="23"/>
        <v/>
      </c>
    </row>
    <row r="755" spans="8:27">
      <c r="H755" s="27"/>
      <c r="U755" s="3" t="str">
        <f t="shared" si="22"/>
        <v/>
      </c>
      <c r="AA755" s="3" t="str">
        <f t="shared" si="23"/>
        <v/>
      </c>
    </row>
    <row r="756" spans="8:27">
      <c r="H756" s="27"/>
      <c r="U756" s="3" t="str">
        <f t="shared" si="22"/>
        <v/>
      </c>
      <c r="AA756" s="3" t="str">
        <f t="shared" si="23"/>
        <v/>
      </c>
    </row>
    <row r="757" spans="8:27">
      <c r="H757" s="27"/>
      <c r="U757" s="3" t="str">
        <f t="shared" si="22"/>
        <v/>
      </c>
      <c r="AA757" s="3" t="str">
        <f t="shared" si="23"/>
        <v/>
      </c>
    </row>
    <row r="758" spans="8:27">
      <c r="H758" s="27"/>
      <c r="U758" s="3" t="str">
        <f t="shared" si="22"/>
        <v/>
      </c>
      <c r="AA758" s="3" t="str">
        <f t="shared" si="23"/>
        <v/>
      </c>
    </row>
    <row r="759" spans="8:27">
      <c r="H759" s="27"/>
      <c r="U759" s="3" t="str">
        <f t="shared" si="22"/>
        <v/>
      </c>
      <c r="AA759" s="3" t="str">
        <f t="shared" si="23"/>
        <v/>
      </c>
    </row>
    <row r="760" spans="8:27">
      <c r="H760" s="27"/>
      <c r="U760" s="3" t="str">
        <f t="shared" si="22"/>
        <v/>
      </c>
      <c r="AA760" s="3" t="str">
        <f t="shared" si="23"/>
        <v/>
      </c>
    </row>
    <row r="761" spans="8:27">
      <c r="H761" s="27"/>
      <c r="U761" s="3" t="str">
        <f t="shared" si="22"/>
        <v/>
      </c>
      <c r="AA761" s="3" t="str">
        <f t="shared" si="23"/>
        <v/>
      </c>
    </row>
    <row r="762" spans="8:27">
      <c r="H762" s="27"/>
      <c r="U762" s="3" t="str">
        <f t="shared" si="22"/>
        <v/>
      </c>
      <c r="AA762" s="3" t="str">
        <f t="shared" si="23"/>
        <v/>
      </c>
    </row>
    <row r="763" spans="8:27">
      <c r="H763" s="27"/>
      <c r="U763" s="3" t="str">
        <f t="shared" si="22"/>
        <v/>
      </c>
      <c r="AA763" s="3" t="str">
        <f t="shared" si="23"/>
        <v/>
      </c>
    </row>
    <row r="764" spans="8:27">
      <c r="H764" s="27"/>
      <c r="U764" s="3" t="str">
        <f t="shared" si="22"/>
        <v/>
      </c>
      <c r="AA764" s="3" t="str">
        <f t="shared" si="23"/>
        <v/>
      </c>
    </row>
    <row r="765" spans="8:27">
      <c r="H765" s="27"/>
      <c r="U765" s="3" t="str">
        <f t="shared" si="22"/>
        <v/>
      </c>
      <c r="AA765" s="3" t="str">
        <f t="shared" si="23"/>
        <v/>
      </c>
    </row>
    <row r="766" spans="8:27">
      <c r="H766" s="27"/>
      <c r="U766" s="3" t="str">
        <f t="shared" si="22"/>
        <v/>
      </c>
      <c r="AA766" s="3" t="str">
        <f t="shared" si="23"/>
        <v/>
      </c>
    </row>
    <row r="767" spans="8:27">
      <c r="H767" s="27"/>
      <c r="U767" s="3" t="str">
        <f t="shared" si="22"/>
        <v/>
      </c>
      <c r="AA767" s="3" t="str">
        <f t="shared" si="23"/>
        <v/>
      </c>
    </row>
    <row r="768" spans="8:27">
      <c r="H768" s="27"/>
      <c r="U768" s="3" t="str">
        <f t="shared" si="22"/>
        <v/>
      </c>
      <c r="AA768" s="3" t="str">
        <f t="shared" si="23"/>
        <v/>
      </c>
    </row>
    <row r="769" spans="8:27">
      <c r="H769" s="27"/>
      <c r="U769" s="3" t="str">
        <f t="shared" si="22"/>
        <v/>
      </c>
      <c r="AA769" s="3" t="str">
        <f t="shared" si="23"/>
        <v/>
      </c>
    </row>
    <row r="770" spans="8:27">
      <c r="H770" s="27"/>
      <c r="U770" s="3" t="str">
        <f t="shared" si="22"/>
        <v/>
      </c>
      <c r="AA770" s="3" t="str">
        <f t="shared" si="23"/>
        <v/>
      </c>
    </row>
    <row r="771" spans="8:27">
      <c r="H771" s="27"/>
      <c r="U771" s="3" t="str">
        <f t="shared" si="22"/>
        <v/>
      </c>
      <c r="AA771" s="3" t="str">
        <f t="shared" si="23"/>
        <v/>
      </c>
    </row>
    <row r="772" spans="8:27">
      <c r="H772" s="27"/>
      <c r="U772" s="3" t="str">
        <f t="shared" si="22"/>
        <v/>
      </c>
      <c r="AA772" s="3" t="str">
        <f t="shared" si="23"/>
        <v/>
      </c>
    </row>
    <row r="773" spans="8:27">
      <c r="H773" s="27"/>
      <c r="U773" s="3" t="str">
        <f t="shared" si="22"/>
        <v/>
      </c>
      <c r="AA773" s="3" t="str">
        <f t="shared" si="23"/>
        <v/>
      </c>
    </row>
    <row r="774" spans="8:27">
      <c r="H774" s="27"/>
      <c r="U774" s="3" t="str">
        <f t="shared" ref="U774:U837" si="24">IF(S774="","",IF(T774="","",H774))</f>
        <v/>
      </c>
      <c r="AA774" s="3" t="str">
        <f t="shared" ref="AA774:AA837" si="25">IF(V774="","",IF(X774="","",H774))</f>
        <v/>
      </c>
    </row>
    <row r="775" spans="8:27">
      <c r="H775" s="27"/>
      <c r="U775" s="3" t="str">
        <f t="shared" si="24"/>
        <v/>
      </c>
      <c r="AA775" s="3" t="str">
        <f t="shared" si="25"/>
        <v/>
      </c>
    </row>
    <row r="776" spans="8:27">
      <c r="H776" s="27"/>
      <c r="U776" s="3" t="str">
        <f t="shared" si="24"/>
        <v/>
      </c>
      <c r="AA776" s="3" t="str">
        <f t="shared" si="25"/>
        <v/>
      </c>
    </row>
    <row r="777" spans="8:27">
      <c r="H777" s="27"/>
      <c r="U777" s="3" t="str">
        <f t="shared" si="24"/>
        <v/>
      </c>
      <c r="AA777" s="3" t="str">
        <f t="shared" si="25"/>
        <v/>
      </c>
    </row>
    <row r="778" spans="8:27">
      <c r="H778" s="27"/>
      <c r="U778" s="3" t="str">
        <f t="shared" si="24"/>
        <v/>
      </c>
      <c r="AA778" s="3" t="str">
        <f t="shared" si="25"/>
        <v/>
      </c>
    </row>
    <row r="779" spans="8:27">
      <c r="H779" s="27"/>
      <c r="U779" s="3" t="str">
        <f t="shared" si="24"/>
        <v/>
      </c>
      <c r="AA779" s="3" t="str">
        <f t="shared" si="25"/>
        <v/>
      </c>
    </row>
    <row r="780" spans="8:27">
      <c r="H780" s="27"/>
      <c r="U780" s="3" t="str">
        <f t="shared" si="24"/>
        <v/>
      </c>
      <c r="AA780" s="3" t="str">
        <f t="shared" si="25"/>
        <v/>
      </c>
    </row>
    <row r="781" spans="8:27">
      <c r="H781" s="27"/>
      <c r="U781" s="3" t="str">
        <f t="shared" si="24"/>
        <v/>
      </c>
      <c r="AA781" s="3" t="str">
        <f t="shared" si="25"/>
        <v/>
      </c>
    </row>
    <row r="782" spans="8:27">
      <c r="H782" s="27"/>
      <c r="U782" s="3" t="str">
        <f t="shared" si="24"/>
        <v/>
      </c>
      <c r="AA782" s="3" t="str">
        <f t="shared" si="25"/>
        <v/>
      </c>
    </row>
    <row r="783" spans="8:27">
      <c r="H783" s="27"/>
      <c r="U783" s="3" t="str">
        <f t="shared" si="24"/>
        <v/>
      </c>
      <c r="AA783" s="3" t="str">
        <f t="shared" si="25"/>
        <v/>
      </c>
    </row>
    <row r="784" spans="8:27">
      <c r="H784" s="27"/>
      <c r="U784" s="3" t="str">
        <f t="shared" si="24"/>
        <v/>
      </c>
      <c r="AA784" s="3" t="str">
        <f t="shared" si="25"/>
        <v/>
      </c>
    </row>
    <row r="785" spans="8:27">
      <c r="H785" s="27"/>
      <c r="U785" s="3" t="str">
        <f t="shared" si="24"/>
        <v/>
      </c>
      <c r="AA785" s="3" t="str">
        <f t="shared" si="25"/>
        <v/>
      </c>
    </row>
    <row r="786" spans="8:27">
      <c r="H786" s="27"/>
      <c r="U786" s="3" t="str">
        <f t="shared" si="24"/>
        <v/>
      </c>
      <c r="AA786" s="3" t="str">
        <f t="shared" si="25"/>
        <v/>
      </c>
    </row>
    <row r="787" spans="8:27">
      <c r="H787" s="27"/>
      <c r="U787" s="3" t="str">
        <f t="shared" si="24"/>
        <v/>
      </c>
      <c r="AA787" s="3" t="str">
        <f t="shared" si="25"/>
        <v/>
      </c>
    </row>
    <row r="788" spans="8:27">
      <c r="H788" s="27"/>
      <c r="U788" s="3" t="str">
        <f t="shared" si="24"/>
        <v/>
      </c>
      <c r="AA788" s="3" t="str">
        <f t="shared" si="25"/>
        <v/>
      </c>
    </row>
    <row r="789" spans="8:27">
      <c r="H789" s="27"/>
      <c r="U789" s="3" t="str">
        <f t="shared" si="24"/>
        <v/>
      </c>
      <c r="AA789" s="3" t="str">
        <f t="shared" si="25"/>
        <v/>
      </c>
    </row>
    <row r="790" spans="8:27">
      <c r="H790" s="27"/>
      <c r="U790" s="3" t="str">
        <f t="shared" si="24"/>
        <v/>
      </c>
      <c r="AA790" s="3" t="str">
        <f t="shared" si="25"/>
        <v/>
      </c>
    </row>
    <row r="791" spans="8:27">
      <c r="H791" s="27"/>
      <c r="U791" s="3" t="str">
        <f t="shared" si="24"/>
        <v/>
      </c>
      <c r="AA791" s="3" t="str">
        <f t="shared" si="25"/>
        <v/>
      </c>
    </row>
    <row r="792" spans="8:27">
      <c r="H792" s="27"/>
      <c r="U792" s="3" t="str">
        <f t="shared" si="24"/>
        <v/>
      </c>
      <c r="AA792" s="3" t="str">
        <f t="shared" si="25"/>
        <v/>
      </c>
    </row>
    <row r="793" spans="8:27">
      <c r="H793" s="27"/>
      <c r="U793" s="3" t="str">
        <f t="shared" si="24"/>
        <v/>
      </c>
      <c r="AA793" s="3" t="str">
        <f t="shared" si="25"/>
        <v/>
      </c>
    </row>
    <row r="794" spans="8:27">
      <c r="H794" s="27"/>
      <c r="U794" s="3" t="str">
        <f t="shared" si="24"/>
        <v/>
      </c>
      <c r="AA794" s="3" t="str">
        <f t="shared" si="25"/>
        <v/>
      </c>
    </row>
    <row r="795" spans="8:27">
      <c r="H795" s="27"/>
      <c r="U795" s="3" t="str">
        <f t="shared" si="24"/>
        <v/>
      </c>
      <c r="AA795" s="3" t="str">
        <f t="shared" si="25"/>
        <v/>
      </c>
    </row>
    <row r="796" spans="8:27">
      <c r="H796" s="27"/>
      <c r="U796" s="3" t="str">
        <f t="shared" si="24"/>
        <v/>
      </c>
      <c r="AA796" s="3" t="str">
        <f t="shared" si="25"/>
        <v/>
      </c>
    </row>
    <row r="797" spans="8:27">
      <c r="H797" s="27"/>
      <c r="U797" s="3" t="str">
        <f t="shared" si="24"/>
        <v/>
      </c>
      <c r="AA797" s="3" t="str">
        <f t="shared" si="25"/>
        <v/>
      </c>
    </row>
    <row r="798" spans="8:27">
      <c r="H798" s="27"/>
      <c r="U798" s="3" t="str">
        <f t="shared" si="24"/>
        <v/>
      </c>
      <c r="AA798" s="3" t="str">
        <f t="shared" si="25"/>
        <v/>
      </c>
    </row>
    <row r="799" spans="8:27">
      <c r="H799" s="27"/>
      <c r="U799" s="3" t="str">
        <f t="shared" si="24"/>
        <v/>
      </c>
      <c r="AA799" s="3" t="str">
        <f t="shared" si="25"/>
        <v/>
      </c>
    </row>
    <row r="800" spans="8:27">
      <c r="H800" s="27"/>
      <c r="U800" s="3" t="str">
        <f t="shared" si="24"/>
        <v/>
      </c>
      <c r="AA800" s="3" t="str">
        <f t="shared" si="25"/>
        <v/>
      </c>
    </row>
    <row r="801" spans="8:27">
      <c r="H801" s="27"/>
      <c r="U801" s="3" t="str">
        <f t="shared" si="24"/>
        <v/>
      </c>
      <c r="AA801" s="3" t="str">
        <f t="shared" si="25"/>
        <v/>
      </c>
    </row>
    <row r="802" spans="8:27">
      <c r="H802" s="27"/>
      <c r="U802" s="3" t="str">
        <f t="shared" si="24"/>
        <v/>
      </c>
      <c r="AA802" s="3" t="str">
        <f t="shared" si="25"/>
        <v/>
      </c>
    </row>
    <row r="803" spans="8:27">
      <c r="H803" s="27"/>
      <c r="U803" s="3" t="str">
        <f t="shared" si="24"/>
        <v/>
      </c>
      <c r="AA803" s="3" t="str">
        <f t="shared" si="25"/>
        <v/>
      </c>
    </row>
    <row r="804" spans="8:27">
      <c r="H804" s="27"/>
      <c r="U804" s="3" t="str">
        <f t="shared" si="24"/>
        <v/>
      </c>
      <c r="AA804" s="3" t="str">
        <f t="shared" si="25"/>
        <v/>
      </c>
    </row>
    <row r="805" spans="8:27">
      <c r="H805" s="27"/>
      <c r="U805" s="3" t="str">
        <f t="shared" si="24"/>
        <v/>
      </c>
      <c r="AA805" s="3" t="str">
        <f t="shared" si="25"/>
        <v/>
      </c>
    </row>
    <row r="806" spans="8:27">
      <c r="H806" s="27"/>
      <c r="U806" s="3" t="str">
        <f t="shared" si="24"/>
        <v/>
      </c>
      <c r="AA806" s="3" t="str">
        <f t="shared" si="25"/>
        <v/>
      </c>
    </row>
    <row r="807" spans="8:27">
      <c r="H807" s="27"/>
      <c r="U807" s="3" t="str">
        <f t="shared" si="24"/>
        <v/>
      </c>
      <c r="AA807" s="3" t="str">
        <f t="shared" si="25"/>
        <v/>
      </c>
    </row>
    <row r="808" spans="8:27">
      <c r="H808" s="27"/>
      <c r="U808" s="3" t="str">
        <f t="shared" si="24"/>
        <v/>
      </c>
      <c r="AA808" s="3" t="str">
        <f t="shared" si="25"/>
        <v/>
      </c>
    </row>
    <row r="809" spans="8:27">
      <c r="H809" s="27"/>
      <c r="U809" s="3" t="str">
        <f t="shared" si="24"/>
        <v/>
      </c>
      <c r="AA809" s="3" t="str">
        <f t="shared" si="25"/>
        <v/>
      </c>
    </row>
    <row r="810" spans="8:27">
      <c r="H810" s="27"/>
      <c r="U810" s="3" t="str">
        <f t="shared" si="24"/>
        <v/>
      </c>
      <c r="AA810" s="3" t="str">
        <f t="shared" si="25"/>
        <v/>
      </c>
    </row>
    <row r="811" spans="8:27">
      <c r="H811" s="27"/>
      <c r="U811" s="3" t="str">
        <f t="shared" si="24"/>
        <v/>
      </c>
      <c r="AA811" s="3" t="str">
        <f t="shared" si="25"/>
        <v/>
      </c>
    </row>
    <row r="812" spans="8:27">
      <c r="H812" s="27"/>
      <c r="U812" s="3" t="str">
        <f t="shared" si="24"/>
        <v/>
      </c>
      <c r="AA812" s="3" t="str">
        <f t="shared" si="25"/>
        <v/>
      </c>
    </row>
    <row r="813" spans="8:27">
      <c r="H813" s="27"/>
      <c r="U813" s="3" t="str">
        <f t="shared" si="24"/>
        <v/>
      </c>
      <c r="AA813" s="3" t="str">
        <f t="shared" si="25"/>
        <v/>
      </c>
    </row>
    <row r="814" spans="8:27">
      <c r="H814" s="27"/>
      <c r="U814" s="3" t="str">
        <f t="shared" si="24"/>
        <v/>
      </c>
      <c r="AA814" s="3" t="str">
        <f t="shared" si="25"/>
        <v/>
      </c>
    </row>
    <row r="815" spans="8:27">
      <c r="H815" s="27"/>
      <c r="U815" s="3" t="str">
        <f t="shared" si="24"/>
        <v/>
      </c>
      <c r="AA815" s="3" t="str">
        <f t="shared" si="25"/>
        <v/>
      </c>
    </row>
    <row r="816" spans="8:27">
      <c r="H816" s="27"/>
      <c r="U816" s="3" t="str">
        <f t="shared" si="24"/>
        <v/>
      </c>
      <c r="AA816" s="3" t="str">
        <f t="shared" si="25"/>
        <v/>
      </c>
    </row>
    <row r="817" spans="8:27">
      <c r="H817" s="27"/>
      <c r="U817" s="3" t="str">
        <f t="shared" si="24"/>
        <v/>
      </c>
      <c r="AA817" s="3" t="str">
        <f t="shared" si="25"/>
        <v/>
      </c>
    </row>
    <row r="818" spans="8:27">
      <c r="H818" s="27"/>
      <c r="U818" s="3" t="str">
        <f t="shared" si="24"/>
        <v/>
      </c>
      <c r="AA818" s="3" t="str">
        <f t="shared" si="25"/>
        <v/>
      </c>
    </row>
    <row r="819" spans="8:27">
      <c r="H819" s="27"/>
      <c r="U819" s="3" t="str">
        <f t="shared" si="24"/>
        <v/>
      </c>
      <c r="AA819" s="3" t="str">
        <f t="shared" si="25"/>
        <v/>
      </c>
    </row>
    <row r="820" spans="8:27">
      <c r="H820" s="27"/>
      <c r="U820" s="3" t="str">
        <f t="shared" si="24"/>
        <v/>
      </c>
      <c r="AA820" s="3" t="str">
        <f t="shared" si="25"/>
        <v/>
      </c>
    </row>
    <row r="821" spans="8:27">
      <c r="H821" s="27"/>
      <c r="U821" s="3" t="str">
        <f t="shared" si="24"/>
        <v/>
      </c>
      <c r="AA821" s="3" t="str">
        <f t="shared" si="25"/>
        <v/>
      </c>
    </row>
    <row r="822" spans="8:27">
      <c r="H822" s="27"/>
      <c r="U822" s="3" t="str">
        <f t="shared" si="24"/>
        <v/>
      </c>
      <c r="AA822" s="3" t="str">
        <f t="shared" si="25"/>
        <v/>
      </c>
    </row>
    <row r="823" spans="8:27">
      <c r="H823" s="27"/>
      <c r="U823" s="3" t="str">
        <f t="shared" si="24"/>
        <v/>
      </c>
      <c r="AA823" s="3" t="str">
        <f t="shared" si="25"/>
        <v/>
      </c>
    </row>
    <row r="824" spans="8:27">
      <c r="H824" s="27"/>
      <c r="U824" s="3" t="str">
        <f t="shared" si="24"/>
        <v/>
      </c>
      <c r="AA824" s="3" t="str">
        <f t="shared" si="25"/>
        <v/>
      </c>
    </row>
    <row r="825" spans="8:27">
      <c r="H825" s="27"/>
      <c r="U825" s="3" t="str">
        <f t="shared" si="24"/>
        <v/>
      </c>
      <c r="AA825" s="3" t="str">
        <f t="shared" si="25"/>
        <v/>
      </c>
    </row>
    <row r="826" spans="8:27">
      <c r="H826" s="27"/>
      <c r="U826" s="3" t="str">
        <f t="shared" si="24"/>
        <v/>
      </c>
      <c r="AA826" s="3" t="str">
        <f t="shared" si="25"/>
        <v/>
      </c>
    </row>
    <row r="827" spans="8:27">
      <c r="H827" s="27"/>
      <c r="U827" s="3" t="str">
        <f t="shared" si="24"/>
        <v/>
      </c>
      <c r="AA827" s="3" t="str">
        <f t="shared" si="25"/>
        <v/>
      </c>
    </row>
    <row r="828" spans="8:27">
      <c r="H828" s="27"/>
      <c r="U828" s="3" t="str">
        <f t="shared" si="24"/>
        <v/>
      </c>
      <c r="AA828" s="3" t="str">
        <f t="shared" si="25"/>
        <v/>
      </c>
    </row>
    <row r="829" spans="8:27">
      <c r="H829" s="27"/>
      <c r="U829" s="3" t="str">
        <f t="shared" si="24"/>
        <v/>
      </c>
      <c r="AA829" s="3" t="str">
        <f t="shared" si="25"/>
        <v/>
      </c>
    </row>
    <row r="830" spans="8:27">
      <c r="H830" s="27"/>
      <c r="U830" s="3" t="str">
        <f t="shared" si="24"/>
        <v/>
      </c>
      <c r="AA830" s="3" t="str">
        <f t="shared" si="25"/>
        <v/>
      </c>
    </row>
    <row r="831" spans="8:27">
      <c r="H831" s="27"/>
      <c r="U831" s="3" t="str">
        <f t="shared" si="24"/>
        <v/>
      </c>
      <c r="AA831" s="3" t="str">
        <f t="shared" si="25"/>
        <v/>
      </c>
    </row>
    <row r="832" spans="8:27">
      <c r="H832" s="27"/>
      <c r="U832" s="3" t="str">
        <f t="shared" si="24"/>
        <v/>
      </c>
      <c r="AA832" s="3" t="str">
        <f t="shared" si="25"/>
        <v/>
      </c>
    </row>
    <row r="833" spans="8:27">
      <c r="H833" s="27"/>
      <c r="U833" s="3" t="str">
        <f t="shared" si="24"/>
        <v/>
      </c>
      <c r="AA833" s="3" t="str">
        <f t="shared" si="25"/>
        <v/>
      </c>
    </row>
    <row r="834" spans="8:27">
      <c r="H834" s="27"/>
      <c r="U834" s="3" t="str">
        <f t="shared" si="24"/>
        <v/>
      </c>
      <c r="AA834" s="3" t="str">
        <f t="shared" si="25"/>
        <v/>
      </c>
    </row>
    <row r="835" spans="8:27">
      <c r="H835" s="27"/>
      <c r="U835" s="3" t="str">
        <f t="shared" si="24"/>
        <v/>
      </c>
      <c r="AA835" s="3" t="str">
        <f t="shared" si="25"/>
        <v/>
      </c>
    </row>
    <row r="836" spans="8:27">
      <c r="H836" s="27"/>
      <c r="U836" s="3" t="str">
        <f t="shared" si="24"/>
        <v/>
      </c>
      <c r="AA836" s="3" t="str">
        <f t="shared" si="25"/>
        <v/>
      </c>
    </row>
    <row r="837" spans="8:27">
      <c r="H837" s="27"/>
      <c r="U837" s="3" t="str">
        <f t="shared" si="24"/>
        <v/>
      </c>
      <c r="AA837" s="3" t="str">
        <f t="shared" si="25"/>
        <v/>
      </c>
    </row>
    <row r="838" spans="8:27">
      <c r="H838" s="27"/>
      <c r="U838" s="3" t="str">
        <f t="shared" ref="U838:U901" si="26">IF(S838="","",IF(T838="","",H838))</f>
        <v/>
      </c>
      <c r="AA838" s="3" t="str">
        <f t="shared" ref="AA838:AA901" si="27">IF(V838="","",IF(X838="","",H838))</f>
        <v/>
      </c>
    </row>
    <row r="839" spans="8:27">
      <c r="H839" s="27"/>
      <c r="U839" s="3" t="str">
        <f t="shared" si="26"/>
        <v/>
      </c>
      <c r="AA839" s="3" t="str">
        <f t="shared" si="27"/>
        <v/>
      </c>
    </row>
    <row r="840" spans="8:27">
      <c r="H840" s="27"/>
      <c r="U840" s="3" t="str">
        <f t="shared" si="26"/>
        <v/>
      </c>
      <c r="AA840" s="3" t="str">
        <f t="shared" si="27"/>
        <v/>
      </c>
    </row>
    <row r="841" spans="8:27">
      <c r="H841" s="27"/>
      <c r="U841" s="3" t="str">
        <f t="shared" si="26"/>
        <v/>
      </c>
      <c r="AA841" s="3" t="str">
        <f t="shared" si="27"/>
        <v/>
      </c>
    </row>
    <row r="842" spans="8:27">
      <c r="H842" s="27"/>
      <c r="U842" s="3" t="str">
        <f t="shared" si="26"/>
        <v/>
      </c>
      <c r="AA842" s="3" t="str">
        <f t="shared" si="27"/>
        <v/>
      </c>
    </row>
    <row r="843" spans="8:27">
      <c r="H843" s="27"/>
      <c r="U843" s="3" t="str">
        <f t="shared" si="26"/>
        <v/>
      </c>
      <c r="AA843" s="3" t="str">
        <f t="shared" si="27"/>
        <v/>
      </c>
    </row>
    <row r="844" spans="8:27">
      <c r="H844" s="27"/>
      <c r="U844" s="3" t="str">
        <f t="shared" si="26"/>
        <v/>
      </c>
      <c r="AA844" s="3" t="str">
        <f t="shared" si="27"/>
        <v/>
      </c>
    </row>
    <row r="845" spans="8:27">
      <c r="H845" s="27"/>
      <c r="U845" s="3" t="str">
        <f t="shared" si="26"/>
        <v/>
      </c>
      <c r="AA845" s="3" t="str">
        <f t="shared" si="27"/>
        <v/>
      </c>
    </row>
    <row r="846" spans="8:27">
      <c r="H846" s="27"/>
      <c r="U846" s="3" t="str">
        <f t="shared" si="26"/>
        <v/>
      </c>
      <c r="AA846" s="3" t="str">
        <f t="shared" si="27"/>
        <v/>
      </c>
    </row>
    <row r="847" spans="8:27">
      <c r="H847" s="27"/>
      <c r="U847" s="3" t="str">
        <f t="shared" si="26"/>
        <v/>
      </c>
      <c r="AA847" s="3" t="str">
        <f t="shared" si="27"/>
        <v/>
      </c>
    </row>
    <row r="848" spans="8:27">
      <c r="H848" s="27"/>
      <c r="U848" s="3" t="str">
        <f t="shared" si="26"/>
        <v/>
      </c>
      <c r="AA848" s="3" t="str">
        <f t="shared" si="27"/>
        <v/>
      </c>
    </row>
    <row r="849" spans="8:27">
      <c r="H849" s="27"/>
      <c r="U849" s="3" t="str">
        <f t="shared" si="26"/>
        <v/>
      </c>
      <c r="AA849" s="3" t="str">
        <f t="shared" si="27"/>
        <v/>
      </c>
    </row>
    <row r="850" spans="8:27">
      <c r="H850" s="27"/>
      <c r="U850" s="3" t="str">
        <f t="shared" si="26"/>
        <v/>
      </c>
      <c r="AA850" s="3" t="str">
        <f t="shared" si="27"/>
        <v/>
      </c>
    </row>
    <row r="851" spans="8:27">
      <c r="H851" s="27"/>
      <c r="U851" s="3" t="str">
        <f t="shared" si="26"/>
        <v/>
      </c>
      <c r="AA851" s="3" t="str">
        <f t="shared" si="27"/>
        <v/>
      </c>
    </row>
    <row r="852" spans="8:27">
      <c r="H852" s="27"/>
      <c r="U852" s="3" t="str">
        <f t="shared" si="26"/>
        <v/>
      </c>
      <c r="AA852" s="3" t="str">
        <f t="shared" si="27"/>
        <v/>
      </c>
    </row>
    <row r="853" spans="8:27">
      <c r="H853" s="27"/>
      <c r="U853" s="3" t="str">
        <f t="shared" si="26"/>
        <v/>
      </c>
      <c r="AA853" s="3" t="str">
        <f t="shared" si="27"/>
        <v/>
      </c>
    </row>
    <row r="854" spans="8:27">
      <c r="H854" s="27"/>
      <c r="U854" s="3" t="str">
        <f t="shared" si="26"/>
        <v/>
      </c>
      <c r="AA854" s="3" t="str">
        <f t="shared" si="27"/>
        <v/>
      </c>
    </row>
    <row r="855" spans="8:27">
      <c r="H855" s="27"/>
      <c r="U855" s="3" t="str">
        <f t="shared" si="26"/>
        <v/>
      </c>
      <c r="AA855" s="3" t="str">
        <f t="shared" si="27"/>
        <v/>
      </c>
    </row>
    <row r="856" spans="8:27">
      <c r="H856" s="27"/>
      <c r="U856" s="3" t="str">
        <f t="shared" si="26"/>
        <v/>
      </c>
      <c r="AA856" s="3" t="str">
        <f t="shared" si="27"/>
        <v/>
      </c>
    </row>
    <row r="857" spans="8:27">
      <c r="H857" s="27"/>
      <c r="U857" s="3" t="str">
        <f t="shared" si="26"/>
        <v/>
      </c>
      <c r="AA857" s="3" t="str">
        <f t="shared" si="27"/>
        <v/>
      </c>
    </row>
    <row r="858" spans="8:27">
      <c r="H858" s="27"/>
      <c r="U858" s="3" t="str">
        <f t="shared" si="26"/>
        <v/>
      </c>
      <c r="AA858" s="3" t="str">
        <f t="shared" si="27"/>
        <v/>
      </c>
    </row>
    <row r="859" spans="8:27">
      <c r="H859" s="27"/>
      <c r="U859" s="3" t="str">
        <f t="shared" si="26"/>
        <v/>
      </c>
      <c r="AA859" s="3" t="str">
        <f t="shared" si="27"/>
        <v/>
      </c>
    </row>
    <row r="860" spans="8:27">
      <c r="H860" s="27"/>
      <c r="U860" s="3" t="str">
        <f t="shared" si="26"/>
        <v/>
      </c>
      <c r="AA860" s="3" t="str">
        <f t="shared" si="27"/>
        <v/>
      </c>
    </row>
    <row r="861" spans="8:27">
      <c r="H861" s="27"/>
      <c r="U861" s="3" t="str">
        <f t="shared" si="26"/>
        <v/>
      </c>
      <c r="AA861" s="3" t="str">
        <f t="shared" si="27"/>
        <v/>
      </c>
    </row>
    <row r="862" spans="8:27">
      <c r="H862" s="27"/>
      <c r="U862" s="3" t="str">
        <f t="shared" si="26"/>
        <v/>
      </c>
      <c r="AA862" s="3" t="str">
        <f t="shared" si="27"/>
        <v/>
      </c>
    </row>
    <row r="863" spans="8:27">
      <c r="H863" s="27"/>
      <c r="U863" s="3" t="str">
        <f t="shared" si="26"/>
        <v/>
      </c>
      <c r="AA863" s="3" t="str">
        <f t="shared" si="27"/>
        <v/>
      </c>
    </row>
    <row r="864" spans="8:27">
      <c r="H864" s="27"/>
      <c r="U864" s="3" t="str">
        <f t="shared" si="26"/>
        <v/>
      </c>
      <c r="AA864" s="3" t="str">
        <f t="shared" si="27"/>
        <v/>
      </c>
    </row>
    <row r="865" spans="8:27">
      <c r="H865" s="27"/>
      <c r="U865" s="3" t="str">
        <f t="shared" si="26"/>
        <v/>
      </c>
      <c r="AA865" s="3" t="str">
        <f t="shared" si="27"/>
        <v/>
      </c>
    </row>
    <row r="866" spans="8:27">
      <c r="H866" s="27"/>
      <c r="U866" s="3" t="str">
        <f t="shared" si="26"/>
        <v/>
      </c>
      <c r="AA866" s="3" t="str">
        <f t="shared" si="27"/>
        <v/>
      </c>
    </row>
    <row r="867" spans="8:27">
      <c r="H867" s="27"/>
      <c r="U867" s="3" t="str">
        <f t="shared" si="26"/>
        <v/>
      </c>
      <c r="AA867" s="3" t="str">
        <f t="shared" si="27"/>
        <v/>
      </c>
    </row>
    <row r="868" spans="8:27">
      <c r="H868" s="27"/>
      <c r="U868" s="3" t="str">
        <f t="shared" si="26"/>
        <v/>
      </c>
      <c r="AA868" s="3" t="str">
        <f t="shared" si="27"/>
        <v/>
      </c>
    </row>
    <row r="869" spans="8:27">
      <c r="H869" s="27"/>
      <c r="U869" s="3" t="str">
        <f t="shared" si="26"/>
        <v/>
      </c>
      <c r="AA869" s="3" t="str">
        <f t="shared" si="27"/>
        <v/>
      </c>
    </row>
    <row r="870" spans="8:27">
      <c r="H870" s="27"/>
      <c r="U870" s="3" t="str">
        <f t="shared" si="26"/>
        <v/>
      </c>
      <c r="AA870" s="3" t="str">
        <f t="shared" si="27"/>
        <v/>
      </c>
    </row>
    <row r="871" spans="8:27">
      <c r="H871" s="27"/>
      <c r="U871" s="3" t="str">
        <f t="shared" si="26"/>
        <v/>
      </c>
      <c r="AA871" s="3" t="str">
        <f t="shared" si="27"/>
        <v/>
      </c>
    </row>
    <row r="872" spans="8:27">
      <c r="H872" s="27"/>
      <c r="U872" s="3" t="str">
        <f t="shared" si="26"/>
        <v/>
      </c>
      <c r="AA872" s="3" t="str">
        <f t="shared" si="27"/>
        <v/>
      </c>
    </row>
    <row r="873" spans="8:27">
      <c r="H873" s="27"/>
      <c r="U873" s="3" t="str">
        <f t="shared" si="26"/>
        <v/>
      </c>
      <c r="AA873" s="3" t="str">
        <f t="shared" si="27"/>
        <v/>
      </c>
    </row>
    <row r="874" spans="8:27">
      <c r="H874" s="27"/>
      <c r="U874" s="3" t="str">
        <f t="shared" si="26"/>
        <v/>
      </c>
      <c r="AA874" s="3" t="str">
        <f t="shared" si="27"/>
        <v/>
      </c>
    </row>
    <row r="875" spans="8:27">
      <c r="H875" s="27"/>
      <c r="U875" s="3" t="str">
        <f t="shared" si="26"/>
        <v/>
      </c>
      <c r="AA875" s="3" t="str">
        <f t="shared" si="27"/>
        <v/>
      </c>
    </row>
    <row r="876" spans="8:27">
      <c r="H876" s="27"/>
      <c r="U876" s="3" t="str">
        <f t="shared" si="26"/>
        <v/>
      </c>
      <c r="AA876" s="3" t="str">
        <f t="shared" si="27"/>
        <v/>
      </c>
    </row>
    <row r="877" spans="8:27">
      <c r="H877" s="27"/>
      <c r="U877" s="3" t="str">
        <f t="shared" si="26"/>
        <v/>
      </c>
      <c r="AA877" s="3" t="str">
        <f t="shared" si="27"/>
        <v/>
      </c>
    </row>
    <row r="878" spans="8:27">
      <c r="H878" s="27"/>
      <c r="U878" s="3" t="str">
        <f t="shared" si="26"/>
        <v/>
      </c>
      <c r="AA878" s="3" t="str">
        <f t="shared" si="27"/>
        <v/>
      </c>
    </row>
    <row r="879" spans="8:27">
      <c r="H879" s="27"/>
      <c r="U879" s="3" t="str">
        <f t="shared" si="26"/>
        <v/>
      </c>
      <c r="AA879" s="3" t="str">
        <f t="shared" si="27"/>
        <v/>
      </c>
    </row>
    <row r="880" spans="8:27">
      <c r="H880" s="27"/>
      <c r="U880" s="3" t="str">
        <f t="shared" si="26"/>
        <v/>
      </c>
      <c r="AA880" s="3" t="str">
        <f t="shared" si="27"/>
        <v/>
      </c>
    </row>
    <row r="881" spans="8:27">
      <c r="H881" s="27"/>
      <c r="U881" s="3" t="str">
        <f t="shared" si="26"/>
        <v/>
      </c>
      <c r="AA881" s="3" t="str">
        <f t="shared" si="27"/>
        <v/>
      </c>
    </row>
    <row r="882" spans="8:27">
      <c r="H882" s="27"/>
      <c r="U882" s="3" t="str">
        <f t="shared" si="26"/>
        <v/>
      </c>
      <c r="AA882" s="3" t="str">
        <f t="shared" si="27"/>
        <v/>
      </c>
    </row>
    <row r="883" spans="8:27">
      <c r="H883" s="27"/>
      <c r="U883" s="3" t="str">
        <f t="shared" si="26"/>
        <v/>
      </c>
      <c r="AA883" s="3" t="str">
        <f t="shared" si="27"/>
        <v/>
      </c>
    </row>
    <row r="884" spans="8:27">
      <c r="H884" s="27"/>
      <c r="U884" s="3" t="str">
        <f t="shared" si="26"/>
        <v/>
      </c>
      <c r="AA884" s="3" t="str">
        <f t="shared" si="27"/>
        <v/>
      </c>
    </row>
    <row r="885" spans="8:27">
      <c r="H885" s="27"/>
      <c r="U885" s="3" t="str">
        <f t="shared" si="26"/>
        <v/>
      </c>
      <c r="AA885" s="3" t="str">
        <f t="shared" si="27"/>
        <v/>
      </c>
    </row>
    <row r="886" spans="8:27">
      <c r="H886" s="27"/>
      <c r="U886" s="3" t="str">
        <f t="shared" si="26"/>
        <v/>
      </c>
      <c r="AA886" s="3" t="str">
        <f t="shared" si="27"/>
        <v/>
      </c>
    </row>
    <row r="887" spans="8:27">
      <c r="H887" s="27"/>
      <c r="U887" s="3" t="str">
        <f t="shared" si="26"/>
        <v/>
      </c>
      <c r="AA887" s="3" t="str">
        <f t="shared" si="27"/>
        <v/>
      </c>
    </row>
    <row r="888" spans="8:27">
      <c r="H888" s="27"/>
      <c r="U888" s="3" t="str">
        <f t="shared" si="26"/>
        <v/>
      </c>
      <c r="AA888" s="3" t="str">
        <f t="shared" si="27"/>
        <v/>
      </c>
    </row>
    <row r="889" spans="8:27">
      <c r="H889" s="27"/>
      <c r="U889" s="3" t="str">
        <f t="shared" si="26"/>
        <v/>
      </c>
      <c r="AA889" s="3" t="str">
        <f t="shared" si="27"/>
        <v/>
      </c>
    </row>
    <row r="890" spans="8:27">
      <c r="H890" s="27"/>
      <c r="U890" s="3" t="str">
        <f t="shared" si="26"/>
        <v/>
      </c>
      <c r="AA890" s="3" t="str">
        <f t="shared" si="27"/>
        <v/>
      </c>
    </row>
    <row r="891" spans="8:27">
      <c r="H891" s="27"/>
      <c r="U891" s="3" t="str">
        <f t="shared" si="26"/>
        <v/>
      </c>
      <c r="AA891" s="3" t="str">
        <f t="shared" si="27"/>
        <v/>
      </c>
    </row>
    <row r="892" spans="8:27">
      <c r="H892" s="27"/>
      <c r="U892" s="3" t="str">
        <f t="shared" si="26"/>
        <v/>
      </c>
      <c r="AA892" s="3" t="str">
        <f t="shared" si="27"/>
        <v/>
      </c>
    </row>
    <row r="893" spans="8:27">
      <c r="H893" s="27"/>
      <c r="U893" s="3" t="str">
        <f t="shared" si="26"/>
        <v/>
      </c>
      <c r="AA893" s="3" t="str">
        <f t="shared" si="27"/>
        <v/>
      </c>
    </row>
    <row r="894" spans="8:27">
      <c r="H894" s="27"/>
      <c r="U894" s="3" t="str">
        <f t="shared" si="26"/>
        <v/>
      </c>
      <c r="AA894" s="3" t="str">
        <f t="shared" si="27"/>
        <v/>
      </c>
    </row>
    <row r="895" spans="8:27">
      <c r="H895" s="27"/>
      <c r="U895" s="3" t="str">
        <f t="shared" si="26"/>
        <v/>
      </c>
      <c r="AA895" s="3" t="str">
        <f t="shared" si="27"/>
        <v/>
      </c>
    </row>
    <row r="896" spans="8:27">
      <c r="H896" s="27"/>
      <c r="U896" s="3" t="str">
        <f t="shared" si="26"/>
        <v/>
      </c>
      <c r="AA896" s="3" t="str">
        <f t="shared" si="27"/>
        <v/>
      </c>
    </row>
    <row r="897" spans="8:27">
      <c r="H897" s="27"/>
      <c r="U897" s="3" t="str">
        <f t="shared" si="26"/>
        <v/>
      </c>
      <c r="AA897" s="3" t="str">
        <f t="shared" si="27"/>
        <v/>
      </c>
    </row>
    <row r="898" spans="8:27">
      <c r="H898" s="27"/>
      <c r="U898" s="3" t="str">
        <f t="shared" si="26"/>
        <v/>
      </c>
      <c r="AA898" s="3" t="str">
        <f t="shared" si="27"/>
        <v/>
      </c>
    </row>
    <row r="899" spans="8:27">
      <c r="H899" s="27"/>
      <c r="U899" s="3" t="str">
        <f t="shared" si="26"/>
        <v/>
      </c>
      <c r="AA899" s="3" t="str">
        <f t="shared" si="27"/>
        <v/>
      </c>
    </row>
    <row r="900" spans="8:27">
      <c r="H900" s="27"/>
      <c r="U900" s="3" t="str">
        <f t="shared" si="26"/>
        <v/>
      </c>
      <c r="AA900" s="3" t="str">
        <f t="shared" si="27"/>
        <v/>
      </c>
    </row>
    <row r="901" spans="8:27">
      <c r="H901" s="27"/>
      <c r="U901" s="3" t="str">
        <f t="shared" si="26"/>
        <v/>
      </c>
      <c r="AA901" s="3" t="str">
        <f t="shared" si="27"/>
        <v/>
      </c>
    </row>
    <row r="902" spans="8:27">
      <c r="H902" s="27"/>
      <c r="U902" s="3" t="str">
        <f t="shared" ref="U902:U965" si="28">IF(S902="","",IF(T902="","",H902))</f>
        <v/>
      </c>
      <c r="AA902" s="3" t="str">
        <f t="shared" ref="AA902:AA965" si="29">IF(V902="","",IF(X902="","",H902))</f>
        <v/>
      </c>
    </row>
    <row r="903" spans="8:27">
      <c r="H903" s="27"/>
      <c r="U903" s="3" t="str">
        <f t="shared" si="28"/>
        <v/>
      </c>
      <c r="AA903" s="3" t="str">
        <f t="shared" si="29"/>
        <v/>
      </c>
    </row>
    <row r="904" spans="8:27">
      <c r="H904" s="27"/>
      <c r="U904" s="3" t="str">
        <f t="shared" si="28"/>
        <v/>
      </c>
      <c r="AA904" s="3" t="str">
        <f t="shared" si="29"/>
        <v/>
      </c>
    </row>
    <row r="905" spans="8:27">
      <c r="H905" s="27"/>
      <c r="U905" s="3" t="str">
        <f t="shared" si="28"/>
        <v/>
      </c>
      <c r="AA905" s="3" t="str">
        <f t="shared" si="29"/>
        <v/>
      </c>
    </row>
    <row r="906" spans="8:27">
      <c r="H906" s="27"/>
      <c r="U906" s="3" t="str">
        <f t="shared" si="28"/>
        <v/>
      </c>
      <c r="AA906" s="3" t="str">
        <f t="shared" si="29"/>
        <v/>
      </c>
    </row>
    <row r="907" spans="8:27">
      <c r="H907" s="27"/>
      <c r="U907" s="3" t="str">
        <f t="shared" si="28"/>
        <v/>
      </c>
      <c r="AA907" s="3" t="str">
        <f t="shared" si="29"/>
        <v/>
      </c>
    </row>
    <row r="908" spans="8:27">
      <c r="H908" s="27"/>
      <c r="U908" s="3" t="str">
        <f t="shared" si="28"/>
        <v/>
      </c>
      <c r="AA908" s="3" t="str">
        <f t="shared" si="29"/>
        <v/>
      </c>
    </row>
    <row r="909" spans="8:27">
      <c r="H909" s="27"/>
      <c r="U909" s="3" t="str">
        <f t="shared" si="28"/>
        <v/>
      </c>
      <c r="AA909" s="3" t="str">
        <f t="shared" si="29"/>
        <v/>
      </c>
    </row>
    <row r="910" spans="8:27">
      <c r="H910" s="27"/>
      <c r="U910" s="3" t="str">
        <f t="shared" si="28"/>
        <v/>
      </c>
      <c r="AA910" s="3" t="str">
        <f t="shared" si="29"/>
        <v/>
      </c>
    </row>
    <row r="911" spans="8:27">
      <c r="H911" s="27"/>
      <c r="U911" s="3" t="str">
        <f t="shared" si="28"/>
        <v/>
      </c>
      <c r="AA911" s="3" t="str">
        <f t="shared" si="29"/>
        <v/>
      </c>
    </row>
    <row r="912" spans="8:27">
      <c r="H912" s="27"/>
      <c r="U912" s="3" t="str">
        <f t="shared" si="28"/>
        <v/>
      </c>
      <c r="AA912" s="3" t="str">
        <f t="shared" si="29"/>
        <v/>
      </c>
    </row>
    <row r="913" spans="8:27">
      <c r="H913" s="27"/>
      <c r="U913" s="3" t="str">
        <f t="shared" si="28"/>
        <v/>
      </c>
      <c r="AA913" s="3" t="str">
        <f t="shared" si="29"/>
        <v/>
      </c>
    </row>
    <row r="914" spans="8:27">
      <c r="H914" s="27"/>
      <c r="U914" s="3" t="str">
        <f t="shared" si="28"/>
        <v/>
      </c>
      <c r="AA914" s="3" t="str">
        <f t="shared" si="29"/>
        <v/>
      </c>
    </row>
    <row r="915" spans="8:27">
      <c r="H915" s="27"/>
      <c r="U915" s="3" t="str">
        <f t="shared" si="28"/>
        <v/>
      </c>
      <c r="AA915" s="3" t="str">
        <f t="shared" si="29"/>
        <v/>
      </c>
    </row>
    <row r="916" spans="8:27">
      <c r="H916" s="27"/>
      <c r="U916" s="3" t="str">
        <f t="shared" si="28"/>
        <v/>
      </c>
      <c r="AA916" s="3" t="str">
        <f t="shared" si="29"/>
        <v/>
      </c>
    </row>
    <row r="917" spans="8:27">
      <c r="H917" s="27"/>
      <c r="U917" s="3" t="str">
        <f t="shared" si="28"/>
        <v/>
      </c>
      <c r="AA917" s="3" t="str">
        <f t="shared" si="29"/>
        <v/>
      </c>
    </row>
    <row r="918" spans="8:27">
      <c r="H918" s="27"/>
      <c r="U918" s="3" t="str">
        <f t="shared" si="28"/>
        <v/>
      </c>
      <c r="AA918" s="3" t="str">
        <f t="shared" si="29"/>
        <v/>
      </c>
    </row>
    <row r="919" spans="8:27">
      <c r="H919" s="27"/>
      <c r="U919" s="3" t="str">
        <f t="shared" si="28"/>
        <v/>
      </c>
      <c r="AA919" s="3" t="str">
        <f t="shared" si="29"/>
        <v/>
      </c>
    </row>
    <row r="920" spans="8:27">
      <c r="H920" s="27"/>
      <c r="U920" s="3" t="str">
        <f t="shared" si="28"/>
        <v/>
      </c>
      <c r="AA920" s="3" t="str">
        <f t="shared" si="29"/>
        <v/>
      </c>
    </row>
    <row r="921" spans="8:27">
      <c r="H921" s="27"/>
      <c r="U921" s="3" t="str">
        <f t="shared" si="28"/>
        <v/>
      </c>
      <c r="AA921" s="3" t="str">
        <f t="shared" si="29"/>
        <v/>
      </c>
    </row>
    <row r="922" spans="8:27">
      <c r="H922" s="27"/>
      <c r="U922" s="3" t="str">
        <f t="shared" si="28"/>
        <v/>
      </c>
      <c r="AA922" s="3" t="str">
        <f t="shared" si="29"/>
        <v/>
      </c>
    </row>
    <row r="923" spans="8:27">
      <c r="H923" s="27"/>
      <c r="U923" s="3" t="str">
        <f t="shared" si="28"/>
        <v/>
      </c>
      <c r="AA923" s="3" t="str">
        <f t="shared" si="29"/>
        <v/>
      </c>
    </row>
    <row r="924" spans="8:27">
      <c r="H924" s="27"/>
      <c r="U924" s="3" t="str">
        <f t="shared" si="28"/>
        <v/>
      </c>
      <c r="AA924" s="3" t="str">
        <f t="shared" si="29"/>
        <v/>
      </c>
    </row>
    <row r="925" spans="8:27">
      <c r="H925" s="27"/>
      <c r="U925" s="3" t="str">
        <f t="shared" si="28"/>
        <v/>
      </c>
      <c r="AA925" s="3" t="str">
        <f t="shared" si="29"/>
        <v/>
      </c>
    </row>
    <row r="926" spans="8:27">
      <c r="H926" s="27"/>
      <c r="U926" s="3" t="str">
        <f t="shared" si="28"/>
        <v/>
      </c>
      <c r="AA926" s="3" t="str">
        <f t="shared" si="29"/>
        <v/>
      </c>
    </row>
    <row r="927" spans="8:27">
      <c r="H927" s="27"/>
      <c r="U927" s="3" t="str">
        <f t="shared" si="28"/>
        <v/>
      </c>
      <c r="AA927" s="3" t="str">
        <f t="shared" si="29"/>
        <v/>
      </c>
    </row>
    <row r="928" spans="8:27">
      <c r="H928" s="27"/>
      <c r="U928" s="3" t="str">
        <f t="shared" si="28"/>
        <v/>
      </c>
      <c r="AA928" s="3" t="str">
        <f t="shared" si="29"/>
        <v/>
      </c>
    </row>
    <row r="929" spans="8:27">
      <c r="H929" s="27"/>
      <c r="U929" s="3" t="str">
        <f t="shared" si="28"/>
        <v/>
      </c>
      <c r="AA929" s="3" t="str">
        <f t="shared" si="29"/>
        <v/>
      </c>
    </row>
    <row r="930" spans="8:27">
      <c r="H930" s="27"/>
      <c r="U930" s="3" t="str">
        <f t="shared" si="28"/>
        <v/>
      </c>
      <c r="AA930" s="3" t="str">
        <f t="shared" si="29"/>
        <v/>
      </c>
    </row>
    <row r="931" spans="8:27">
      <c r="H931" s="27"/>
      <c r="U931" s="3" t="str">
        <f t="shared" si="28"/>
        <v/>
      </c>
      <c r="AA931" s="3" t="str">
        <f t="shared" si="29"/>
        <v/>
      </c>
    </row>
    <row r="932" spans="8:27">
      <c r="H932" s="27"/>
      <c r="U932" s="3" t="str">
        <f t="shared" si="28"/>
        <v/>
      </c>
      <c r="AA932" s="3" t="str">
        <f t="shared" si="29"/>
        <v/>
      </c>
    </row>
    <row r="933" spans="8:27">
      <c r="H933" s="27"/>
      <c r="U933" s="3" t="str">
        <f t="shared" si="28"/>
        <v/>
      </c>
      <c r="AA933" s="3" t="str">
        <f t="shared" si="29"/>
        <v/>
      </c>
    </row>
    <row r="934" spans="8:27">
      <c r="H934" s="27"/>
      <c r="U934" s="3" t="str">
        <f t="shared" si="28"/>
        <v/>
      </c>
      <c r="AA934" s="3" t="str">
        <f t="shared" si="29"/>
        <v/>
      </c>
    </row>
    <row r="935" spans="8:27">
      <c r="H935" s="27"/>
      <c r="U935" s="3" t="str">
        <f t="shared" si="28"/>
        <v/>
      </c>
      <c r="AA935" s="3" t="str">
        <f t="shared" si="29"/>
        <v/>
      </c>
    </row>
    <row r="936" spans="8:27">
      <c r="H936" s="27"/>
      <c r="U936" s="3" t="str">
        <f t="shared" si="28"/>
        <v/>
      </c>
      <c r="AA936" s="3" t="str">
        <f t="shared" si="29"/>
        <v/>
      </c>
    </row>
    <row r="937" spans="8:27">
      <c r="H937" s="27"/>
      <c r="U937" s="3" t="str">
        <f t="shared" si="28"/>
        <v/>
      </c>
      <c r="AA937" s="3" t="str">
        <f t="shared" si="29"/>
        <v/>
      </c>
    </row>
    <row r="938" spans="8:27">
      <c r="H938" s="27"/>
      <c r="U938" s="3" t="str">
        <f t="shared" si="28"/>
        <v/>
      </c>
      <c r="AA938" s="3" t="str">
        <f t="shared" si="29"/>
        <v/>
      </c>
    </row>
    <row r="939" spans="8:27">
      <c r="H939" s="27"/>
      <c r="U939" s="3" t="str">
        <f t="shared" si="28"/>
        <v/>
      </c>
      <c r="AA939" s="3" t="str">
        <f t="shared" si="29"/>
        <v/>
      </c>
    </row>
    <row r="940" spans="8:27">
      <c r="H940" s="27"/>
      <c r="U940" s="3" t="str">
        <f t="shared" si="28"/>
        <v/>
      </c>
      <c r="AA940" s="3" t="str">
        <f t="shared" si="29"/>
        <v/>
      </c>
    </row>
    <row r="941" spans="8:27">
      <c r="H941" s="27"/>
      <c r="U941" s="3" t="str">
        <f t="shared" si="28"/>
        <v/>
      </c>
      <c r="AA941" s="3" t="str">
        <f t="shared" si="29"/>
        <v/>
      </c>
    </row>
    <row r="942" spans="8:27">
      <c r="H942" s="27"/>
      <c r="U942" s="3" t="str">
        <f t="shared" si="28"/>
        <v/>
      </c>
      <c r="AA942" s="3" t="str">
        <f t="shared" si="29"/>
        <v/>
      </c>
    </row>
    <row r="943" spans="8:27">
      <c r="H943" s="27"/>
      <c r="U943" s="3" t="str">
        <f t="shared" si="28"/>
        <v/>
      </c>
      <c r="AA943" s="3" t="str">
        <f t="shared" si="29"/>
        <v/>
      </c>
    </row>
    <row r="944" spans="8:27">
      <c r="H944" s="27"/>
      <c r="U944" s="3" t="str">
        <f t="shared" si="28"/>
        <v/>
      </c>
      <c r="AA944" s="3" t="str">
        <f t="shared" si="29"/>
        <v/>
      </c>
    </row>
    <row r="945" spans="8:27">
      <c r="H945" s="27"/>
      <c r="U945" s="3" t="str">
        <f t="shared" si="28"/>
        <v/>
      </c>
      <c r="AA945" s="3" t="str">
        <f t="shared" si="29"/>
        <v/>
      </c>
    </row>
    <row r="946" spans="8:27">
      <c r="H946" s="27"/>
      <c r="U946" s="3" t="str">
        <f t="shared" si="28"/>
        <v/>
      </c>
      <c r="AA946" s="3" t="str">
        <f t="shared" si="29"/>
        <v/>
      </c>
    </row>
    <row r="947" spans="8:27">
      <c r="H947" s="27"/>
      <c r="U947" s="3" t="str">
        <f t="shared" si="28"/>
        <v/>
      </c>
      <c r="AA947" s="3" t="str">
        <f t="shared" si="29"/>
        <v/>
      </c>
    </row>
    <row r="948" spans="8:27">
      <c r="H948" s="27"/>
      <c r="U948" s="3" t="str">
        <f t="shared" si="28"/>
        <v/>
      </c>
      <c r="AA948" s="3" t="str">
        <f t="shared" si="29"/>
        <v/>
      </c>
    </row>
    <row r="949" spans="8:27">
      <c r="H949" s="27"/>
      <c r="U949" s="3" t="str">
        <f t="shared" si="28"/>
        <v/>
      </c>
      <c r="AA949" s="3" t="str">
        <f t="shared" si="29"/>
        <v/>
      </c>
    </row>
    <row r="950" spans="8:27">
      <c r="H950" s="27"/>
      <c r="U950" s="3" t="str">
        <f t="shared" si="28"/>
        <v/>
      </c>
      <c r="AA950" s="3" t="str">
        <f t="shared" si="29"/>
        <v/>
      </c>
    </row>
    <row r="951" spans="8:27">
      <c r="H951" s="27"/>
      <c r="U951" s="3" t="str">
        <f t="shared" si="28"/>
        <v/>
      </c>
      <c r="AA951" s="3" t="str">
        <f t="shared" si="29"/>
        <v/>
      </c>
    </row>
    <row r="952" spans="8:27">
      <c r="H952" s="27"/>
      <c r="U952" s="3" t="str">
        <f t="shared" si="28"/>
        <v/>
      </c>
      <c r="AA952" s="3" t="str">
        <f t="shared" si="29"/>
        <v/>
      </c>
    </row>
    <row r="953" spans="8:27">
      <c r="H953" s="27"/>
      <c r="U953" s="3" t="str">
        <f t="shared" si="28"/>
        <v/>
      </c>
      <c r="AA953" s="3" t="str">
        <f t="shared" si="29"/>
        <v/>
      </c>
    </row>
    <row r="954" spans="8:27">
      <c r="H954" s="27"/>
      <c r="U954" s="3" t="str">
        <f t="shared" si="28"/>
        <v/>
      </c>
      <c r="AA954" s="3" t="str">
        <f t="shared" si="29"/>
        <v/>
      </c>
    </row>
    <row r="955" spans="8:27">
      <c r="H955" s="27"/>
      <c r="U955" s="3" t="str">
        <f t="shared" si="28"/>
        <v/>
      </c>
      <c r="AA955" s="3" t="str">
        <f t="shared" si="29"/>
        <v/>
      </c>
    </row>
    <row r="956" spans="8:27">
      <c r="H956" s="27"/>
      <c r="U956" s="3" t="str">
        <f t="shared" si="28"/>
        <v/>
      </c>
      <c r="AA956" s="3" t="str">
        <f t="shared" si="29"/>
        <v/>
      </c>
    </row>
    <row r="957" spans="8:27">
      <c r="H957" s="27"/>
      <c r="U957" s="3" t="str">
        <f t="shared" si="28"/>
        <v/>
      </c>
      <c r="AA957" s="3" t="str">
        <f t="shared" si="29"/>
        <v/>
      </c>
    </row>
    <row r="958" spans="8:27">
      <c r="H958" s="27"/>
      <c r="U958" s="3" t="str">
        <f t="shared" si="28"/>
        <v/>
      </c>
      <c r="AA958" s="3" t="str">
        <f t="shared" si="29"/>
        <v/>
      </c>
    </row>
    <row r="959" spans="8:27">
      <c r="H959" s="27"/>
      <c r="U959" s="3" t="str">
        <f t="shared" si="28"/>
        <v/>
      </c>
      <c r="AA959" s="3" t="str">
        <f t="shared" si="29"/>
        <v/>
      </c>
    </row>
    <row r="960" spans="8:27">
      <c r="H960" s="27"/>
      <c r="U960" s="3" t="str">
        <f t="shared" si="28"/>
        <v/>
      </c>
      <c r="AA960" s="3" t="str">
        <f t="shared" si="29"/>
        <v/>
      </c>
    </row>
    <row r="961" spans="8:27">
      <c r="H961" s="27"/>
      <c r="U961" s="3" t="str">
        <f t="shared" si="28"/>
        <v/>
      </c>
      <c r="AA961" s="3" t="str">
        <f t="shared" si="29"/>
        <v/>
      </c>
    </row>
    <row r="962" spans="8:27">
      <c r="H962" s="27"/>
      <c r="U962" s="3" t="str">
        <f t="shared" si="28"/>
        <v/>
      </c>
      <c r="AA962" s="3" t="str">
        <f t="shared" si="29"/>
        <v/>
      </c>
    </row>
    <row r="963" spans="8:27">
      <c r="H963" s="27"/>
      <c r="U963" s="3" t="str">
        <f t="shared" si="28"/>
        <v/>
      </c>
      <c r="AA963" s="3" t="str">
        <f t="shared" si="29"/>
        <v/>
      </c>
    </row>
    <row r="964" spans="8:27">
      <c r="H964" s="27"/>
      <c r="U964" s="3" t="str">
        <f t="shared" si="28"/>
        <v/>
      </c>
      <c r="AA964" s="3" t="str">
        <f t="shared" si="29"/>
        <v/>
      </c>
    </row>
    <row r="965" spans="8:27">
      <c r="H965" s="27"/>
      <c r="U965" s="3" t="str">
        <f t="shared" si="28"/>
        <v/>
      </c>
      <c r="AA965" s="3" t="str">
        <f t="shared" si="29"/>
        <v/>
      </c>
    </row>
    <row r="966" spans="8:27">
      <c r="H966" s="27"/>
      <c r="U966" s="3" t="str">
        <f t="shared" ref="U966:U1029" si="30">IF(S966="","",IF(T966="","",H966))</f>
        <v/>
      </c>
      <c r="AA966" s="3" t="str">
        <f t="shared" ref="AA966:AA1029" si="31">IF(V966="","",IF(X966="","",H966))</f>
        <v/>
      </c>
    </row>
    <row r="967" spans="8:27">
      <c r="H967" s="27"/>
      <c r="U967" s="3" t="str">
        <f t="shared" si="30"/>
        <v/>
      </c>
      <c r="AA967" s="3" t="str">
        <f t="shared" si="31"/>
        <v/>
      </c>
    </row>
    <row r="968" spans="8:27">
      <c r="H968" s="27"/>
      <c r="U968" s="3" t="str">
        <f t="shared" si="30"/>
        <v/>
      </c>
      <c r="AA968" s="3" t="str">
        <f t="shared" si="31"/>
        <v/>
      </c>
    </row>
    <row r="969" spans="8:27">
      <c r="H969" s="27"/>
      <c r="U969" s="3" t="str">
        <f t="shared" si="30"/>
        <v/>
      </c>
      <c r="AA969" s="3" t="str">
        <f t="shared" si="31"/>
        <v/>
      </c>
    </row>
    <row r="970" spans="8:27">
      <c r="H970" s="27"/>
      <c r="U970" s="3" t="str">
        <f t="shared" si="30"/>
        <v/>
      </c>
      <c r="AA970" s="3" t="str">
        <f t="shared" si="31"/>
        <v/>
      </c>
    </row>
    <row r="971" spans="8:27">
      <c r="H971" s="27"/>
      <c r="U971" s="3" t="str">
        <f t="shared" si="30"/>
        <v/>
      </c>
      <c r="AA971" s="3" t="str">
        <f t="shared" si="31"/>
        <v/>
      </c>
    </row>
    <row r="972" spans="8:27">
      <c r="H972" s="27"/>
      <c r="U972" s="3" t="str">
        <f t="shared" si="30"/>
        <v/>
      </c>
      <c r="AA972" s="3" t="str">
        <f t="shared" si="31"/>
        <v/>
      </c>
    </row>
    <row r="973" spans="8:27">
      <c r="H973" s="27"/>
      <c r="U973" s="3" t="str">
        <f t="shared" si="30"/>
        <v/>
      </c>
      <c r="AA973" s="3" t="str">
        <f t="shared" si="31"/>
        <v/>
      </c>
    </row>
    <row r="974" spans="8:27">
      <c r="H974" s="27"/>
      <c r="U974" s="3" t="str">
        <f t="shared" si="30"/>
        <v/>
      </c>
      <c r="AA974" s="3" t="str">
        <f t="shared" si="31"/>
        <v/>
      </c>
    </row>
    <row r="975" spans="8:27">
      <c r="H975" s="27"/>
      <c r="U975" s="3" t="str">
        <f t="shared" si="30"/>
        <v/>
      </c>
      <c r="AA975" s="3" t="str">
        <f t="shared" si="31"/>
        <v/>
      </c>
    </row>
    <row r="976" spans="8:27">
      <c r="H976" s="27"/>
      <c r="U976" s="3" t="str">
        <f t="shared" si="30"/>
        <v/>
      </c>
      <c r="AA976" s="3" t="str">
        <f t="shared" si="31"/>
        <v/>
      </c>
    </row>
    <row r="977" spans="8:27">
      <c r="H977" s="27"/>
      <c r="U977" s="3" t="str">
        <f t="shared" si="30"/>
        <v/>
      </c>
      <c r="AA977" s="3" t="str">
        <f t="shared" si="31"/>
        <v/>
      </c>
    </row>
    <row r="978" spans="8:27">
      <c r="H978" s="27"/>
      <c r="U978" s="3" t="str">
        <f t="shared" si="30"/>
        <v/>
      </c>
      <c r="AA978" s="3" t="str">
        <f t="shared" si="31"/>
        <v/>
      </c>
    </row>
    <row r="979" spans="8:27">
      <c r="H979" s="27"/>
      <c r="U979" s="3" t="str">
        <f t="shared" si="30"/>
        <v/>
      </c>
      <c r="AA979" s="3" t="str">
        <f t="shared" si="31"/>
        <v/>
      </c>
    </row>
    <row r="980" spans="8:27">
      <c r="H980" s="27"/>
      <c r="U980" s="3" t="str">
        <f t="shared" si="30"/>
        <v/>
      </c>
      <c r="AA980" s="3" t="str">
        <f t="shared" si="31"/>
        <v/>
      </c>
    </row>
    <row r="981" spans="8:27">
      <c r="H981" s="27"/>
      <c r="U981" s="3" t="str">
        <f t="shared" si="30"/>
        <v/>
      </c>
      <c r="AA981" s="3" t="str">
        <f t="shared" si="31"/>
        <v/>
      </c>
    </row>
    <row r="982" spans="8:27">
      <c r="H982" s="27"/>
      <c r="U982" s="3" t="str">
        <f t="shared" si="30"/>
        <v/>
      </c>
      <c r="AA982" s="3" t="str">
        <f t="shared" si="31"/>
        <v/>
      </c>
    </row>
    <row r="983" spans="8:27">
      <c r="H983" s="27"/>
      <c r="U983" s="3" t="str">
        <f t="shared" si="30"/>
        <v/>
      </c>
      <c r="AA983" s="3" t="str">
        <f t="shared" si="31"/>
        <v/>
      </c>
    </row>
    <row r="984" spans="8:27">
      <c r="H984" s="27"/>
      <c r="U984" s="3" t="str">
        <f t="shared" si="30"/>
        <v/>
      </c>
      <c r="AA984" s="3" t="str">
        <f t="shared" si="31"/>
        <v/>
      </c>
    </row>
    <row r="985" spans="8:27">
      <c r="H985" s="27"/>
      <c r="U985" s="3" t="str">
        <f t="shared" si="30"/>
        <v/>
      </c>
      <c r="AA985" s="3" t="str">
        <f t="shared" si="31"/>
        <v/>
      </c>
    </row>
    <row r="986" spans="8:27">
      <c r="H986" s="27"/>
      <c r="U986" s="3" t="str">
        <f t="shared" si="30"/>
        <v/>
      </c>
      <c r="AA986" s="3" t="str">
        <f t="shared" si="31"/>
        <v/>
      </c>
    </row>
    <row r="987" spans="8:27">
      <c r="H987" s="27"/>
      <c r="U987" s="3" t="str">
        <f t="shared" si="30"/>
        <v/>
      </c>
      <c r="AA987" s="3" t="str">
        <f t="shared" si="31"/>
        <v/>
      </c>
    </row>
    <row r="988" spans="8:27">
      <c r="H988" s="27"/>
      <c r="U988" s="3" t="str">
        <f t="shared" si="30"/>
        <v/>
      </c>
      <c r="AA988" s="3" t="str">
        <f t="shared" si="31"/>
        <v/>
      </c>
    </row>
    <row r="989" spans="8:27">
      <c r="H989" s="27"/>
      <c r="U989" s="3" t="str">
        <f t="shared" si="30"/>
        <v/>
      </c>
      <c r="AA989" s="3" t="str">
        <f t="shared" si="31"/>
        <v/>
      </c>
    </row>
    <row r="990" spans="8:27">
      <c r="H990" s="27"/>
      <c r="U990" s="3" t="str">
        <f t="shared" si="30"/>
        <v/>
      </c>
      <c r="AA990" s="3" t="str">
        <f t="shared" si="31"/>
        <v/>
      </c>
    </row>
    <row r="991" spans="8:27">
      <c r="H991" s="27"/>
      <c r="U991" s="3" t="str">
        <f t="shared" si="30"/>
        <v/>
      </c>
      <c r="AA991" s="3" t="str">
        <f t="shared" si="31"/>
        <v/>
      </c>
    </row>
    <row r="992" spans="8:27">
      <c r="H992" s="27"/>
      <c r="U992" s="3" t="str">
        <f t="shared" si="30"/>
        <v/>
      </c>
      <c r="AA992" s="3" t="str">
        <f t="shared" si="31"/>
        <v/>
      </c>
    </row>
    <row r="993" spans="8:27">
      <c r="H993" s="27"/>
      <c r="U993" s="3" t="str">
        <f t="shared" si="30"/>
        <v/>
      </c>
      <c r="AA993" s="3" t="str">
        <f t="shared" si="31"/>
        <v/>
      </c>
    </row>
    <row r="994" spans="8:27">
      <c r="H994" s="27"/>
      <c r="U994" s="3" t="str">
        <f t="shared" si="30"/>
        <v/>
      </c>
      <c r="AA994" s="3" t="str">
        <f t="shared" si="31"/>
        <v/>
      </c>
    </row>
    <row r="995" spans="8:27">
      <c r="H995" s="27"/>
      <c r="U995" s="3" t="str">
        <f t="shared" si="30"/>
        <v/>
      </c>
      <c r="AA995" s="3" t="str">
        <f t="shared" si="31"/>
        <v/>
      </c>
    </row>
    <row r="996" spans="8:27">
      <c r="H996" s="27"/>
      <c r="U996" s="3" t="str">
        <f t="shared" si="30"/>
        <v/>
      </c>
      <c r="AA996" s="3" t="str">
        <f t="shared" si="31"/>
        <v/>
      </c>
    </row>
    <row r="997" spans="8:27">
      <c r="H997" s="27"/>
      <c r="U997" s="3" t="str">
        <f t="shared" si="30"/>
        <v/>
      </c>
      <c r="AA997" s="3" t="str">
        <f t="shared" si="31"/>
        <v/>
      </c>
    </row>
    <row r="998" spans="8:27">
      <c r="H998" s="27"/>
      <c r="U998" s="3" t="str">
        <f t="shared" si="30"/>
        <v/>
      </c>
      <c r="AA998" s="3" t="str">
        <f t="shared" si="31"/>
        <v/>
      </c>
    </row>
    <row r="999" spans="8:27">
      <c r="H999" s="27"/>
      <c r="U999" s="3" t="str">
        <f t="shared" si="30"/>
        <v/>
      </c>
      <c r="AA999" s="3" t="str">
        <f t="shared" si="31"/>
        <v/>
      </c>
    </row>
    <row r="1000" spans="8:27">
      <c r="H1000" s="27"/>
      <c r="U1000" s="3" t="str">
        <f t="shared" si="30"/>
        <v/>
      </c>
      <c r="AA1000" s="3" t="str">
        <f t="shared" si="31"/>
        <v/>
      </c>
    </row>
    <row r="1001" spans="8:27">
      <c r="H1001" s="27"/>
      <c r="U1001" s="3" t="str">
        <f t="shared" si="30"/>
        <v/>
      </c>
      <c r="AA1001" s="3" t="str">
        <f t="shared" si="31"/>
        <v/>
      </c>
    </row>
    <row r="1002" spans="8:27">
      <c r="H1002" s="27"/>
      <c r="U1002" s="3" t="str">
        <f t="shared" si="30"/>
        <v/>
      </c>
      <c r="AA1002" s="3" t="str">
        <f t="shared" si="31"/>
        <v/>
      </c>
    </row>
    <row r="1003" spans="8:27">
      <c r="H1003" s="27"/>
      <c r="U1003" s="3" t="str">
        <f t="shared" si="30"/>
        <v/>
      </c>
      <c r="AA1003" s="3" t="str">
        <f t="shared" si="31"/>
        <v/>
      </c>
    </row>
    <row r="1004" spans="8:27">
      <c r="H1004" s="27"/>
      <c r="U1004" s="3" t="str">
        <f t="shared" si="30"/>
        <v/>
      </c>
      <c r="AA1004" s="3" t="str">
        <f t="shared" si="31"/>
        <v/>
      </c>
    </row>
    <row r="1005" spans="8:27">
      <c r="H1005" s="27"/>
      <c r="U1005" s="3" t="str">
        <f t="shared" si="30"/>
        <v/>
      </c>
      <c r="AA1005" s="3" t="str">
        <f t="shared" si="31"/>
        <v/>
      </c>
    </row>
    <row r="1006" spans="8:27">
      <c r="H1006" s="27"/>
      <c r="U1006" s="3" t="str">
        <f t="shared" si="30"/>
        <v/>
      </c>
      <c r="AA1006" s="3" t="str">
        <f t="shared" si="31"/>
        <v/>
      </c>
    </row>
    <row r="1007" spans="8:27">
      <c r="H1007" s="27"/>
      <c r="U1007" s="3" t="str">
        <f t="shared" si="30"/>
        <v/>
      </c>
      <c r="AA1007" s="3" t="str">
        <f t="shared" si="31"/>
        <v/>
      </c>
    </row>
    <row r="1008" spans="8:27">
      <c r="H1008" s="27"/>
      <c r="U1008" s="3" t="str">
        <f t="shared" si="30"/>
        <v/>
      </c>
      <c r="AA1008" s="3" t="str">
        <f t="shared" si="31"/>
        <v/>
      </c>
    </row>
    <row r="1009" spans="8:27">
      <c r="H1009" s="27"/>
      <c r="U1009" s="3" t="str">
        <f t="shared" si="30"/>
        <v/>
      </c>
      <c r="AA1009" s="3" t="str">
        <f t="shared" si="31"/>
        <v/>
      </c>
    </row>
    <row r="1010" spans="8:27">
      <c r="H1010" s="27"/>
      <c r="U1010" s="3" t="str">
        <f t="shared" si="30"/>
        <v/>
      </c>
      <c r="AA1010" s="3" t="str">
        <f t="shared" si="31"/>
        <v/>
      </c>
    </row>
    <row r="1011" spans="8:27">
      <c r="H1011" s="27"/>
      <c r="U1011" s="3" t="str">
        <f t="shared" si="30"/>
        <v/>
      </c>
      <c r="AA1011" s="3" t="str">
        <f t="shared" si="31"/>
        <v/>
      </c>
    </row>
    <row r="1012" spans="8:27">
      <c r="H1012" s="27"/>
      <c r="U1012" s="3" t="str">
        <f t="shared" si="30"/>
        <v/>
      </c>
      <c r="AA1012" s="3" t="str">
        <f t="shared" si="31"/>
        <v/>
      </c>
    </row>
    <row r="1013" spans="8:27">
      <c r="H1013" s="27"/>
      <c r="U1013" s="3" t="str">
        <f t="shared" si="30"/>
        <v/>
      </c>
      <c r="AA1013" s="3" t="str">
        <f t="shared" si="31"/>
        <v/>
      </c>
    </row>
    <row r="1014" spans="8:27">
      <c r="H1014" s="27"/>
      <c r="U1014" s="3" t="str">
        <f t="shared" si="30"/>
        <v/>
      </c>
      <c r="AA1014" s="3" t="str">
        <f t="shared" si="31"/>
        <v/>
      </c>
    </row>
    <row r="1015" spans="8:27">
      <c r="H1015" s="27"/>
      <c r="U1015" s="3" t="str">
        <f t="shared" si="30"/>
        <v/>
      </c>
      <c r="AA1015" s="3" t="str">
        <f t="shared" si="31"/>
        <v/>
      </c>
    </row>
    <row r="1016" spans="8:27">
      <c r="H1016" s="27"/>
      <c r="U1016" s="3" t="str">
        <f t="shared" si="30"/>
        <v/>
      </c>
      <c r="AA1016" s="3" t="str">
        <f t="shared" si="31"/>
        <v/>
      </c>
    </row>
    <row r="1017" spans="8:27">
      <c r="H1017" s="27"/>
      <c r="U1017" s="3" t="str">
        <f t="shared" si="30"/>
        <v/>
      </c>
      <c r="AA1017" s="3" t="str">
        <f t="shared" si="31"/>
        <v/>
      </c>
    </row>
    <row r="1018" spans="8:27">
      <c r="H1018" s="27"/>
      <c r="U1018" s="3" t="str">
        <f t="shared" si="30"/>
        <v/>
      </c>
      <c r="AA1018" s="3" t="str">
        <f t="shared" si="31"/>
        <v/>
      </c>
    </row>
    <row r="1019" spans="8:27">
      <c r="H1019" s="27"/>
      <c r="U1019" s="3" t="str">
        <f t="shared" si="30"/>
        <v/>
      </c>
      <c r="AA1019" s="3" t="str">
        <f t="shared" si="31"/>
        <v/>
      </c>
    </row>
    <row r="1020" spans="8:27">
      <c r="H1020" s="27"/>
      <c r="U1020" s="3" t="str">
        <f t="shared" si="30"/>
        <v/>
      </c>
      <c r="AA1020" s="3" t="str">
        <f t="shared" si="31"/>
        <v/>
      </c>
    </row>
    <row r="1021" spans="8:27">
      <c r="H1021" s="27"/>
      <c r="U1021" s="3" t="str">
        <f t="shared" si="30"/>
        <v/>
      </c>
      <c r="AA1021" s="3" t="str">
        <f t="shared" si="31"/>
        <v/>
      </c>
    </row>
    <row r="1022" spans="8:27">
      <c r="H1022" s="27"/>
      <c r="U1022" s="3" t="str">
        <f t="shared" si="30"/>
        <v/>
      </c>
      <c r="AA1022" s="3" t="str">
        <f t="shared" si="31"/>
        <v/>
      </c>
    </row>
    <row r="1023" spans="8:27">
      <c r="H1023" s="27"/>
      <c r="U1023" s="3" t="str">
        <f t="shared" si="30"/>
        <v/>
      </c>
      <c r="AA1023" s="3" t="str">
        <f t="shared" si="31"/>
        <v/>
      </c>
    </row>
    <row r="1024" spans="8:27">
      <c r="H1024" s="27"/>
      <c r="U1024" s="3" t="str">
        <f t="shared" si="30"/>
        <v/>
      </c>
      <c r="AA1024" s="3" t="str">
        <f t="shared" si="31"/>
        <v/>
      </c>
    </row>
    <row r="1025" spans="8:27">
      <c r="H1025" s="27"/>
      <c r="U1025" s="3" t="str">
        <f t="shared" si="30"/>
        <v/>
      </c>
      <c r="AA1025" s="3" t="str">
        <f t="shared" si="31"/>
        <v/>
      </c>
    </row>
    <row r="1026" spans="8:27">
      <c r="H1026" s="27"/>
      <c r="U1026" s="3" t="str">
        <f t="shared" si="30"/>
        <v/>
      </c>
      <c r="AA1026" s="3" t="str">
        <f t="shared" si="31"/>
        <v/>
      </c>
    </row>
    <row r="1027" spans="8:27">
      <c r="H1027" s="27"/>
      <c r="U1027" s="3" t="str">
        <f t="shared" si="30"/>
        <v/>
      </c>
      <c r="AA1027" s="3" t="str">
        <f t="shared" si="31"/>
        <v/>
      </c>
    </row>
    <row r="1028" spans="8:27">
      <c r="H1028" s="27"/>
      <c r="U1028" s="3" t="str">
        <f t="shared" si="30"/>
        <v/>
      </c>
      <c r="AA1028" s="3" t="str">
        <f t="shared" si="31"/>
        <v/>
      </c>
    </row>
    <row r="1029" spans="8:27">
      <c r="H1029" s="27"/>
      <c r="U1029" s="3" t="str">
        <f t="shared" si="30"/>
        <v/>
      </c>
      <c r="AA1029" s="3" t="str">
        <f t="shared" si="31"/>
        <v/>
      </c>
    </row>
    <row r="1030" spans="8:27">
      <c r="H1030" s="27"/>
      <c r="U1030" s="3" t="str">
        <f t="shared" ref="U1030:U1093" si="32">IF(S1030="","",IF(T1030="","",H1030))</f>
        <v/>
      </c>
      <c r="AA1030" s="3" t="str">
        <f t="shared" ref="AA1030:AA1093" si="33">IF(V1030="","",IF(X1030="","",H1030))</f>
        <v/>
      </c>
    </row>
    <row r="1031" spans="8:27">
      <c r="H1031" s="27"/>
      <c r="U1031" s="3" t="str">
        <f t="shared" si="32"/>
        <v/>
      </c>
      <c r="AA1031" s="3" t="str">
        <f t="shared" si="33"/>
        <v/>
      </c>
    </row>
    <row r="1032" spans="8:27">
      <c r="H1032" s="27"/>
      <c r="U1032" s="3" t="str">
        <f t="shared" si="32"/>
        <v/>
      </c>
      <c r="AA1032" s="3" t="str">
        <f t="shared" si="33"/>
        <v/>
      </c>
    </row>
    <row r="1033" spans="8:27">
      <c r="H1033" s="27"/>
      <c r="U1033" s="3" t="str">
        <f t="shared" si="32"/>
        <v/>
      </c>
      <c r="AA1033" s="3" t="str">
        <f t="shared" si="33"/>
        <v/>
      </c>
    </row>
    <row r="1034" spans="8:27">
      <c r="H1034" s="27"/>
      <c r="U1034" s="3" t="str">
        <f t="shared" si="32"/>
        <v/>
      </c>
      <c r="AA1034" s="3" t="str">
        <f t="shared" si="33"/>
        <v/>
      </c>
    </row>
    <row r="1035" spans="8:27">
      <c r="H1035" s="27"/>
      <c r="U1035" s="3" t="str">
        <f t="shared" si="32"/>
        <v/>
      </c>
      <c r="AA1035" s="3" t="str">
        <f t="shared" si="33"/>
        <v/>
      </c>
    </row>
    <row r="1036" spans="8:27">
      <c r="H1036" s="27"/>
      <c r="U1036" s="3" t="str">
        <f t="shared" si="32"/>
        <v/>
      </c>
      <c r="AA1036" s="3" t="str">
        <f t="shared" si="33"/>
        <v/>
      </c>
    </row>
    <row r="1037" spans="8:27">
      <c r="H1037" s="27"/>
      <c r="U1037" s="3" t="str">
        <f t="shared" si="32"/>
        <v/>
      </c>
      <c r="AA1037" s="3" t="str">
        <f t="shared" si="33"/>
        <v/>
      </c>
    </row>
    <row r="1038" spans="8:27">
      <c r="H1038" s="27"/>
      <c r="U1038" s="3" t="str">
        <f t="shared" si="32"/>
        <v/>
      </c>
      <c r="AA1038" s="3" t="str">
        <f t="shared" si="33"/>
        <v/>
      </c>
    </row>
    <row r="1039" spans="8:27">
      <c r="H1039" s="27"/>
      <c r="U1039" s="3" t="str">
        <f t="shared" si="32"/>
        <v/>
      </c>
      <c r="AA1039" s="3" t="str">
        <f t="shared" si="33"/>
        <v/>
      </c>
    </row>
    <row r="1040" spans="8:27">
      <c r="H1040" s="27"/>
      <c r="U1040" s="3" t="str">
        <f t="shared" si="32"/>
        <v/>
      </c>
      <c r="AA1040" s="3" t="str">
        <f t="shared" si="33"/>
        <v/>
      </c>
    </row>
    <row r="1041" spans="8:27">
      <c r="H1041" s="27"/>
      <c r="U1041" s="3" t="str">
        <f t="shared" si="32"/>
        <v/>
      </c>
      <c r="AA1041" s="3" t="str">
        <f t="shared" si="33"/>
        <v/>
      </c>
    </row>
    <row r="1042" spans="8:27">
      <c r="H1042" s="27"/>
      <c r="U1042" s="3" t="str">
        <f t="shared" si="32"/>
        <v/>
      </c>
      <c r="AA1042" s="3" t="str">
        <f t="shared" si="33"/>
        <v/>
      </c>
    </row>
    <row r="1043" spans="8:27">
      <c r="H1043" s="27"/>
      <c r="U1043" s="3" t="str">
        <f t="shared" si="32"/>
        <v/>
      </c>
      <c r="AA1043" s="3" t="str">
        <f t="shared" si="33"/>
        <v/>
      </c>
    </row>
    <row r="1044" spans="8:27">
      <c r="H1044" s="27"/>
      <c r="U1044" s="3" t="str">
        <f t="shared" si="32"/>
        <v/>
      </c>
      <c r="AA1044" s="3" t="str">
        <f t="shared" si="33"/>
        <v/>
      </c>
    </row>
    <row r="1045" spans="8:27">
      <c r="H1045" s="27"/>
      <c r="U1045" s="3" t="str">
        <f t="shared" si="32"/>
        <v/>
      </c>
      <c r="AA1045" s="3" t="str">
        <f t="shared" si="33"/>
        <v/>
      </c>
    </row>
    <row r="1046" spans="8:27">
      <c r="H1046" s="27"/>
      <c r="U1046" s="3" t="str">
        <f t="shared" si="32"/>
        <v/>
      </c>
      <c r="AA1046" s="3" t="str">
        <f t="shared" si="33"/>
        <v/>
      </c>
    </row>
    <row r="1047" spans="8:27">
      <c r="H1047" s="27"/>
      <c r="U1047" s="3" t="str">
        <f t="shared" si="32"/>
        <v/>
      </c>
      <c r="AA1047" s="3" t="str">
        <f t="shared" si="33"/>
        <v/>
      </c>
    </row>
    <row r="1048" spans="8:27">
      <c r="H1048" s="27"/>
      <c r="U1048" s="3" t="str">
        <f t="shared" si="32"/>
        <v/>
      </c>
      <c r="AA1048" s="3" t="str">
        <f t="shared" si="33"/>
        <v/>
      </c>
    </row>
    <row r="1049" spans="8:27">
      <c r="H1049" s="27"/>
      <c r="U1049" s="3" t="str">
        <f t="shared" si="32"/>
        <v/>
      </c>
      <c r="AA1049" s="3" t="str">
        <f t="shared" si="33"/>
        <v/>
      </c>
    </row>
    <row r="1050" spans="8:27">
      <c r="H1050" s="27"/>
      <c r="U1050" s="3" t="str">
        <f t="shared" si="32"/>
        <v/>
      </c>
      <c r="AA1050" s="3" t="str">
        <f t="shared" si="33"/>
        <v/>
      </c>
    </row>
    <row r="1051" spans="8:27">
      <c r="H1051" s="27"/>
      <c r="U1051" s="3" t="str">
        <f t="shared" si="32"/>
        <v/>
      </c>
      <c r="AA1051" s="3" t="str">
        <f t="shared" si="33"/>
        <v/>
      </c>
    </row>
    <row r="1052" spans="8:27">
      <c r="H1052" s="27"/>
      <c r="U1052" s="3" t="str">
        <f t="shared" si="32"/>
        <v/>
      </c>
      <c r="AA1052" s="3" t="str">
        <f t="shared" si="33"/>
        <v/>
      </c>
    </row>
    <row r="1053" spans="8:27">
      <c r="H1053" s="27"/>
      <c r="U1053" s="3" t="str">
        <f t="shared" si="32"/>
        <v/>
      </c>
      <c r="AA1053" s="3" t="str">
        <f t="shared" si="33"/>
        <v/>
      </c>
    </row>
    <row r="1054" spans="8:27">
      <c r="H1054" s="27"/>
      <c r="U1054" s="3" t="str">
        <f t="shared" si="32"/>
        <v/>
      </c>
      <c r="AA1054" s="3" t="str">
        <f t="shared" si="33"/>
        <v/>
      </c>
    </row>
    <row r="1055" spans="8:27">
      <c r="H1055" s="27"/>
      <c r="U1055" s="3" t="str">
        <f t="shared" si="32"/>
        <v/>
      </c>
      <c r="AA1055" s="3" t="str">
        <f t="shared" si="33"/>
        <v/>
      </c>
    </row>
    <row r="1056" spans="8:27">
      <c r="H1056" s="27"/>
      <c r="U1056" s="3" t="str">
        <f t="shared" si="32"/>
        <v/>
      </c>
      <c r="AA1056" s="3" t="str">
        <f t="shared" si="33"/>
        <v/>
      </c>
    </row>
    <row r="1057" spans="8:27">
      <c r="H1057" s="27"/>
      <c r="U1057" s="3" t="str">
        <f t="shared" si="32"/>
        <v/>
      </c>
      <c r="AA1057" s="3" t="str">
        <f t="shared" si="33"/>
        <v/>
      </c>
    </row>
    <row r="1058" spans="8:27">
      <c r="H1058" s="27"/>
      <c r="U1058" s="3" t="str">
        <f t="shared" si="32"/>
        <v/>
      </c>
      <c r="AA1058" s="3" t="str">
        <f t="shared" si="33"/>
        <v/>
      </c>
    </row>
    <row r="1059" spans="8:27">
      <c r="H1059" s="27"/>
      <c r="U1059" s="3" t="str">
        <f t="shared" si="32"/>
        <v/>
      </c>
      <c r="AA1059" s="3" t="str">
        <f t="shared" si="33"/>
        <v/>
      </c>
    </row>
    <row r="1060" spans="8:27">
      <c r="H1060" s="27"/>
      <c r="U1060" s="3" t="str">
        <f t="shared" si="32"/>
        <v/>
      </c>
      <c r="AA1060" s="3" t="str">
        <f t="shared" si="33"/>
        <v/>
      </c>
    </row>
    <row r="1061" spans="8:27">
      <c r="H1061" s="27"/>
      <c r="U1061" s="3" t="str">
        <f t="shared" si="32"/>
        <v/>
      </c>
      <c r="AA1061" s="3" t="str">
        <f t="shared" si="33"/>
        <v/>
      </c>
    </row>
    <row r="1062" spans="8:27">
      <c r="H1062" s="27"/>
      <c r="U1062" s="3" t="str">
        <f t="shared" si="32"/>
        <v/>
      </c>
      <c r="AA1062" s="3" t="str">
        <f t="shared" si="33"/>
        <v/>
      </c>
    </row>
    <row r="1063" spans="8:27">
      <c r="H1063" s="27"/>
      <c r="U1063" s="3" t="str">
        <f t="shared" si="32"/>
        <v/>
      </c>
      <c r="AA1063" s="3" t="str">
        <f t="shared" si="33"/>
        <v/>
      </c>
    </row>
    <row r="1064" spans="8:27">
      <c r="H1064" s="27"/>
      <c r="U1064" s="3" t="str">
        <f t="shared" si="32"/>
        <v/>
      </c>
      <c r="AA1064" s="3" t="str">
        <f t="shared" si="33"/>
        <v/>
      </c>
    </row>
    <row r="1065" spans="8:27">
      <c r="H1065" s="27"/>
      <c r="U1065" s="3" t="str">
        <f t="shared" si="32"/>
        <v/>
      </c>
      <c r="AA1065" s="3" t="str">
        <f t="shared" si="33"/>
        <v/>
      </c>
    </row>
    <row r="1066" spans="8:27">
      <c r="H1066" s="27"/>
      <c r="U1066" s="3" t="str">
        <f t="shared" si="32"/>
        <v/>
      </c>
      <c r="AA1066" s="3" t="str">
        <f t="shared" si="33"/>
        <v/>
      </c>
    </row>
    <row r="1067" spans="8:27">
      <c r="H1067" s="27"/>
      <c r="U1067" s="3" t="str">
        <f t="shared" si="32"/>
        <v/>
      </c>
      <c r="AA1067" s="3" t="str">
        <f t="shared" si="33"/>
        <v/>
      </c>
    </row>
    <row r="1068" spans="8:27">
      <c r="H1068" s="27"/>
      <c r="U1068" s="3" t="str">
        <f t="shared" si="32"/>
        <v/>
      </c>
      <c r="AA1068" s="3" t="str">
        <f t="shared" si="33"/>
        <v/>
      </c>
    </row>
    <row r="1069" spans="8:27">
      <c r="H1069" s="27"/>
      <c r="U1069" s="3" t="str">
        <f t="shared" si="32"/>
        <v/>
      </c>
      <c r="AA1069" s="3" t="str">
        <f t="shared" si="33"/>
        <v/>
      </c>
    </row>
    <row r="1070" spans="8:27">
      <c r="H1070" s="27"/>
      <c r="U1070" s="3" t="str">
        <f t="shared" si="32"/>
        <v/>
      </c>
      <c r="AA1070" s="3" t="str">
        <f t="shared" si="33"/>
        <v/>
      </c>
    </row>
    <row r="1071" spans="8:27">
      <c r="H1071" s="27"/>
      <c r="U1071" s="3" t="str">
        <f t="shared" si="32"/>
        <v/>
      </c>
      <c r="AA1071" s="3" t="str">
        <f t="shared" si="33"/>
        <v/>
      </c>
    </row>
    <row r="1072" spans="8:27">
      <c r="H1072" s="27"/>
      <c r="U1072" s="3" t="str">
        <f t="shared" si="32"/>
        <v/>
      </c>
      <c r="AA1072" s="3" t="str">
        <f t="shared" si="33"/>
        <v/>
      </c>
    </row>
    <row r="1073" spans="8:27">
      <c r="H1073" s="27"/>
      <c r="U1073" s="3" t="str">
        <f t="shared" si="32"/>
        <v/>
      </c>
      <c r="AA1073" s="3" t="str">
        <f t="shared" si="33"/>
        <v/>
      </c>
    </row>
    <row r="1074" spans="8:27">
      <c r="H1074" s="27"/>
      <c r="U1074" s="3" t="str">
        <f t="shared" si="32"/>
        <v/>
      </c>
      <c r="AA1074" s="3" t="str">
        <f t="shared" si="33"/>
        <v/>
      </c>
    </row>
    <row r="1075" spans="8:27">
      <c r="H1075" s="27"/>
      <c r="U1075" s="3" t="str">
        <f t="shared" si="32"/>
        <v/>
      </c>
      <c r="AA1075" s="3" t="str">
        <f t="shared" si="33"/>
        <v/>
      </c>
    </row>
    <row r="1076" spans="8:27">
      <c r="H1076" s="27"/>
      <c r="U1076" s="3" t="str">
        <f t="shared" si="32"/>
        <v/>
      </c>
      <c r="AA1076" s="3" t="str">
        <f t="shared" si="33"/>
        <v/>
      </c>
    </row>
    <row r="1077" spans="8:27">
      <c r="H1077" s="27"/>
      <c r="U1077" s="3" t="str">
        <f t="shared" si="32"/>
        <v/>
      </c>
      <c r="AA1077" s="3" t="str">
        <f t="shared" si="33"/>
        <v/>
      </c>
    </row>
    <row r="1078" spans="8:27">
      <c r="H1078" s="27"/>
      <c r="U1078" s="3" t="str">
        <f t="shared" si="32"/>
        <v/>
      </c>
      <c r="AA1078" s="3" t="str">
        <f t="shared" si="33"/>
        <v/>
      </c>
    </row>
    <row r="1079" spans="8:27">
      <c r="H1079" s="27"/>
      <c r="U1079" s="3" t="str">
        <f t="shared" si="32"/>
        <v/>
      </c>
      <c r="AA1079" s="3" t="str">
        <f t="shared" si="33"/>
        <v/>
      </c>
    </row>
    <row r="1080" spans="8:27">
      <c r="H1080" s="27"/>
      <c r="U1080" s="3" t="str">
        <f t="shared" si="32"/>
        <v/>
      </c>
      <c r="AA1080" s="3" t="str">
        <f t="shared" si="33"/>
        <v/>
      </c>
    </row>
    <row r="1081" spans="8:27">
      <c r="H1081" s="27"/>
      <c r="U1081" s="3" t="str">
        <f t="shared" si="32"/>
        <v/>
      </c>
      <c r="AA1081" s="3" t="str">
        <f t="shared" si="33"/>
        <v/>
      </c>
    </row>
    <row r="1082" spans="8:27">
      <c r="H1082" s="27"/>
      <c r="U1082" s="3" t="str">
        <f t="shared" si="32"/>
        <v/>
      </c>
      <c r="AA1082" s="3" t="str">
        <f t="shared" si="33"/>
        <v/>
      </c>
    </row>
    <row r="1083" spans="8:27">
      <c r="H1083" s="27"/>
      <c r="U1083" s="3" t="str">
        <f t="shared" si="32"/>
        <v/>
      </c>
      <c r="AA1083" s="3" t="str">
        <f t="shared" si="33"/>
        <v/>
      </c>
    </row>
    <row r="1084" spans="8:27">
      <c r="H1084" s="27"/>
      <c r="U1084" s="3" t="str">
        <f t="shared" si="32"/>
        <v/>
      </c>
      <c r="AA1084" s="3" t="str">
        <f t="shared" si="33"/>
        <v/>
      </c>
    </row>
    <row r="1085" spans="8:27">
      <c r="H1085" s="27"/>
      <c r="U1085" s="3" t="str">
        <f t="shared" si="32"/>
        <v/>
      </c>
      <c r="AA1085" s="3" t="str">
        <f t="shared" si="33"/>
        <v/>
      </c>
    </row>
    <row r="1086" spans="8:27">
      <c r="H1086" s="27"/>
      <c r="U1086" s="3" t="str">
        <f t="shared" si="32"/>
        <v/>
      </c>
      <c r="AA1086" s="3" t="str">
        <f t="shared" si="33"/>
        <v/>
      </c>
    </row>
    <row r="1087" spans="8:27">
      <c r="H1087" s="27"/>
      <c r="U1087" s="3" t="str">
        <f t="shared" si="32"/>
        <v/>
      </c>
      <c r="AA1087" s="3" t="str">
        <f t="shared" si="33"/>
        <v/>
      </c>
    </row>
    <row r="1088" spans="8:27">
      <c r="H1088" s="27"/>
      <c r="U1088" s="3" t="str">
        <f t="shared" si="32"/>
        <v/>
      </c>
      <c r="AA1088" s="3" t="str">
        <f t="shared" si="33"/>
        <v/>
      </c>
    </row>
    <row r="1089" spans="8:27">
      <c r="H1089" s="27"/>
      <c r="U1089" s="3" t="str">
        <f t="shared" si="32"/>
        <v/>
      </c>
      <c r="AA1089" s="3" t="str">
        <f t="shared" si="33"/>
        <v/>
      </c>
    </row>
    <row r="1090" spans="8:27">
      <c r="H1090" s="27"/>
      <c r="U1090" s="3" t="str">
        <f t="shared" si="32"/>
        <v/>
      </c>
      <c r="AA1090" s="3" t="str">
        <f t="shared" si="33"/>
        <v/>
      </c>
    </row>
    <row r="1091" spans="8:27">
      <c r="H1091" s="27"/>
      <c r="U1091" s="3" t="str">
        <f t="shared" si="32"/>
        <v/>
      </c>
      <c r="AA1091" s="3" t="str">
        <f t="shared" si="33"/>
        <v/>
      </c>
    </row>
    <row r="1092" spans="8:27">
      <c r="H1092" s="27"/>
      <c r="U1092" s="3" t="str">
        <f t="shared" si="32"/>
        <v/>
      </c>
      <c r="AA1092" s="3" t="str">
        <f t="shared" si="33"/>
        <v/>
      </c>
    </row>
    <row r="1093" spans="8:27">
      <c r="H1093" s="27"/>
      <c r="U1093" s="3" t="str">
        <f t="shared" si="32"/>
        <v/>
      </c>
      <c r="AA1093" s="3" t="str">
        <f t="shared" si="33"/>
        <v/>
      </c>
    </row>
    <row r="1094" spans="8:27">
      <c r="H1094" s="27"/>
      <c r="U1094" s="3" t="str">
        <f t="shared" ref="U1094:U1157" si="34">IF(S1094="","",IF(T1094="","",H1094))</f>
        <v/>
      </c>
      <c r="AA1094" s="3" t="str">
        <f t="shared" ref="AA1094:AA1157" si="35">IF(V1094="","",IF(X1094="","",H1094))</f>
        <v/>
      </c>
    </row>
    <row r="1095" spans="8:27">
      <c r="H1095" s="27"/>
      <c r="U1095" s="3" t="str">
        <f t="shared" si="34"/>
        <v/>
      </c>
      <c r="AA1095" s="3" t="str">
        <f t="shared" si="35"/>
        <v/>
      </c>
    </row>
    <row r="1096" spans="8:27">
      <c r="H1096" s="27"/>
      <c r="U1096" s="3" t="str">
        <f t="shared" si="34"/>
        <v/>
      </c>
      <c r="AA1096" s="3" t="str">
        <f t="shared" si="35"/>
        <v/>
      </c>
    </row>
    <row r="1097" spans="8:27">
      <c r="H1097" s="27"/>
      <c r="U1097" s="3" t="str">
        <f t="shared" si="34"/>
        <v/>
      </c>
      <c r="AA1097" s="3" t="str">
        <f t="shared" si="35"/>
        <v/>
      </c>
    </row>
    <row r="1098" spans="8:27">
      <c r="H1098" s="27"/>
      <c r="U1098" s="3" t="str">
        <f t="shared" si="34"/>
        <v/>
      </c>
      <c r="AA1098" s="3" t="str">
        <f t="shared" si="35"/>
        <v/>
      </c>
    </row>
    <row r="1099" spans="8:27">
      <c r="H1099" s="27"/>
      <c r="U1099" s="3" t="str">
        <f t="shared" si="34"/>
        <v/>
      </c>
      <c r="AA1099" s="3" t="str">
        <f t="shared" si="35"/>
        <v/>
      </c>
    </row>
    <row r="1100" spans="8:27">
      <c r="H1100" s="27"/>
      <c r="U1100" s="3" t="str">
        <f t="shared" si="34"/>
        <v/>
      </c>
      <c r="AA1100" s="3" t="str">
        <f t="shared" si="35"/>
        <v/>
      </c>
    </row>
    <row r="1101" spans="8:27">
      <c r="H1101" s="27"/>
      <c r="U1101" s="3" t="str">
        <f t="shared" si="34"/>
        <v/>
      </c>
      <c r="AA1101" s="3" t="str">
        <f t="shared" si="35"/>
        <v/>
      </c>
    </row>
    <row r="1102" spans="8:27">
      <c r="H1102" s="27"/>
      <c r="U1102" s="3" t="str">
        <f t="shared" si="34"/>
        <v/>
      </c>
      <c r="AA1102" s="3" t="str">
        <f t="shared" si="35"/>
        <v/>
      </c>
    </row>
    <row r="1103" spans="8:27">
      <c r="H1103" s="27"/>
      <c r="U1103" s="3" t="str">
        <f t="shared" si="34"/>
        <v/>
      </c>
      <c r="AA1103" s="3" t="str">
        <f t="shared" si="35"/>
        <v/>
      </c>
    </row>
    <row r="1104" spans="8:27">
      <c r="H1104" s="27"/>
      <c r="U1104" s="3" t="str">
        <f t="shared" si="34"/>
        <v/>
      </c>
      <c r="AA1104" s="3" t="str">
        <f t="shared" si="35"/>
        <v/>
      </c>
    </row>
    <row r="1105" spans="8:27">
      <c r="H1105" s="27"/>
      <c r="U1105" s="3" t="str">
        <f t="shared" si="34"/>
        <v/>
      </c>
      <c r="AA1105" s="3" t="str">
        <f t="shared" si="35"/>
        <v/>
      </c>
    </row>
    <row r="1106" spans="8:27">
      <c r="H1106" s="27"/>
      <c r="U1106" s="3" t="str">
        <f t="shared" si="34"/>
        <v/>
      </c>
      <c r="AA1106" s="3" t="str">
        <f t="shared" si="35"/>
        <v/>
      </c>
    </row>
    <row r="1107" spans="8:27">
      <c r="H1107" s="27"/>
      <c r="U1107" s="3" t="str">
        <f t="shared" si="34"/>
        <v/>
      </c>
      <c r="AA1107" s="3" t="str">
        <f t="shared" si="35"/>
        <v/>
      </c>
    </row>
    <row r="1108" spans="8:27">
      <c r="H1108" s="27"/>
      <c r="U1108" s="3" t="str">
        <f t="shared" si="34"/>
        <v/>
      </c>
      <c r="AA1108" s="3" t="str">
        <f t="shared" si="35"/>
        <v/>
      </c>
    </row>
    <row r="1109" spans="8:27">
      <c r="H1109" s="27"/>
      <c r="U1109" s="3" t="str">
        <f t="shared" si="34"/>
        <v/>
      </c>
      <c r="AA1109" s="3" t="str">
        <f t="shared" si="35"/>
        <v/>
      </c>
    </row>
    <row r="1110" spans="8:27">
      <c r="H1110" s="27"/>
      <c r="U1110" s="3" t="str">
        <f t="shared" si="34"/>
        <v/>
      </c>
      <c r="AA1110" s="3" t="str">
        <f t="shared" si="35"/>
        <v/>
      </c>
    </row>
    <row r="1111" spans="8:27">
      <c r="U1111" s="3" t="str">
        <f t="shared" si="34"/>
        <v/>
      </c>
      <c r="AA1111" s="3" t="str">
        <f t="shared" si="35"/>
        <v/>
      </c>
    </row>
    <row r="1112" spans="8:27">
      <c r="U1112" s="3" t="str">
        <f t="shared" si="34"/>
        <v/>
      </c>
      <c r="AA1112" s="3" t="str">
        <f t="shared" si="35"/>
        <v/>
      </c>
    </row>
    <row r="1113" spans="8:27">
      <c r="U1113" s="3" t="str">
        <f t="shared" si="34"/>
        <v/>
      </c>
      <c r="AA1113" s="3" t="str">
        <f t="shared" si="35"/>
        <v/>
      </c>
    </row>
    <row r="1114" spans="8:27">
      <c r="U1114" s="3" t="str">
        <f t="shared" si="34"/>
        <v/>
      </c>
      <c r="AA1114" s="3" t="str">
        <f t="shared" si="35"/>
        <v/>
      </c>
    </row>
    <row r="1115" spans="8:27">
      <c r="U1115" s="3" t="str">
        <f t="shared" si="34"/>
        <v/>
      </c>
      <c r="AA1115" s="3" t="str">
        <f t="shared" si="35"/>
        <v/>
      </c>
    </row>
    <row r="1116" spans="8:27">
      <c r="U1116" s="3" t="str">
        <f t="shared" si="34"/>
        <v/>
      </c>
      <c r="AA1116" s="3" t="str">
        <f t="shared" si="35"/>
        <v/>
      </c>
    </row>
    <row r="1117" spans="8:27">
      <c r="U1117" s="3" t="str">
        <f t="shared" si="34"/>
        <v/>
      </c>
      <c r="AA1117" s="3" t="str">
        <f t="shared" si="35"/>
        <v/>
      </c>
    </row>
    <row r="1118" spans="8:27">
      <c r="U1118" s="3" t="str">
        <f t="shared" si="34"/>
        <v/>
      </c>
      <c r="AA1118" s="3" t="str">
        <f t="shared" si="35"/>
        <v/>
      </c>
    </row>
    <row r="1119" spans="8:27">
      <c r="U1119" s="3" t="str">
        <f t="shared" si="34"/>
        <v/>
      </c>
      <c r="AA1119" s="3" t="str">
        <f t="shared" si="35"/>
        <v/>
      </c>
    </row>
    <row r="1120" spans="8:27">
      <c r="U1120" s="3" t="str">
        <f t="shared" si="34"/>
        <v/>
      </c>
      <c r="AA1120" s="3" t="str">
        <f t="shared" si="35"/>
        <v/>
      </c>
    </row>
    <row r="1121" spans="21:27">
      <c r="U1121" s="3" t="str">
        <f t="shared" si="34"/>
        <v/>
      </c>
      <c r="AA1121" s="3" t="str">
        <f t="shared" si="35"/>
        <v/>
      </c>
    </row>
    <row r="1122" spans="21:27">
      <c r="U1122" s="3" t="str">
        <f t="shared" si="34"/>
        <v/>
      </c>
      <c r="AA1122" s="3" t="str">
        <f t="shared" si="35"/>
        <v/>
      </c>
    </row>
    <row r="1123" spans="21:27">
      <c r="U1123" s="3" t="str">
        <f t="shared" si="34"/>
        <v/>
      </c>
      <c r="AA1123" s="3" t="str">
        <f t="shared" si="35"/>
        <v/>
      </c>
    </row>
    <row r="1124" spans="21:27">
      <c r="U1124" s="3" t="str">
        <f t="shared" si="34"/>
        <v/>
      </c>
      <c r="AA1124" s="3" t="str">
        <f t="shared" si="35"/>
        <v/>
      </c>
    </row>
    <row r="1125" spans="21:27">
      <c r="U1125" s="3" t="str">
        <f t="shared" si="34"/>
        <v/>
      </c>
      <c r="AA1125" s="3" t="str">
        <f t="shared" si="35"/>
        <v/>
      </c>
    </row>
    <row r="1126" spans="21:27">
      <c r="U1126" s="3" t="str">
        <f t="shared" si="34"/>
        <v/>
      </c>
      <c r="AA1126" s="3" t="str">
        <f t="shared" si="35"/>
        <v/>
      </c>
    </row>
    <row r="1127" spans="21:27">
      <c r="U1127" s="3" t="str">
        <f t="shared" si="34"/>
        <v/>
      </c>
      <c r="AA1127" s="3" t="str">
        <f t="shared" si="35"/>
        <v/>
      </c>
    </row>
    <row r="1128" spans="21:27">
      <c r="U1128" s="3" t="str">
        <f t="shared" si="34"/>
        <v/>
      </c>
      <c r="AA1128" s="3" t="str">
        <f t="shared" si="35"/>
        <v/>
      </c>
    </row>
    <row r="1129" spans="21:27">
      <c r="U1129" s="3" t="str">
        <f t="shared" si="34"/>
        <v/>
      </c>
      <c r="AA1129" s="3" t="str">
        <f t="shared" si="35"/>
        <v/>
      </c>
    </row>
    <row r="1130" spans="21:27">
      <c r="U1130" s="3" t="str">
        <f t="shared" si="34"/>
        <v/>
      </c>
      <c r="AA1130" s="3" t="str">
        <f t="shared" si="35"/>
        <v/>
      </c>
    </row>
    <row r="1131" spans="21:27">
      <c r="U1131" s="3" t="str">
        <f t="shared" si="34"/>
        <v/>
      </c>
      <c r="AA1131" s="3" t="str">
        <f t="shared" si="35"/>
        <v/>
      </c>
    </row>
    <row r="1132" spans="21:27">
      <c r="U1132" s="3" t="str">
        <f t="shared" si="34"/>
        <v/>
      </c>
      <c r="AA1132" s="3" t="str">
        <f t="shared" si="35"/>
        <v/>
      </c>
    </row>
    <row r="1133" spans="21:27">
      <c r="U1133" s="3" t="str">
        <f t="shared" si="34"/>
        <v/>
      </c>
      <c r="AA1133" s="3" t="str">
        <f t="shared" si="35"/>
        <v/>
      </c>
    </row>
    <row r="1134" spans="21:27">
      <c r="U1134" s="3" t="str">
        <f t="shared" si="34"/>
        <v/>
      </c>
      <c r="AA1134" s="3" t="str">
        <f t="shared" si="35"/>
        <v/>
      </c>
    </row>
    <row r="1135" spans="21:27">
      <c r="U1135" s="3" t="str">
        <f t="shared" si="34"/>
        <v/>
      </c>
      <c r="AA1135" s="3" t="str">
        <f t="shared" si="35"/>
        <v/>
      </c>
    </row>
    <row r="1136" spans="21:27">
      <c r="U1136" s="3" t="str">
        <f t="shared" si="34"/>
        <v/>
      </c>
      <c r="AA1136" s="3" t="str">
        <f t="shared" si="35"/>
        <v/>
      </c>
    </row>
    <row r="1137" spans="21:27">
      <c r="U1137" s="3" t="str">
        <f t="shared" si="34"/>
        <v/>
      </c>
      <c r="AA1137" s="3" t="str">
        <f t="shared" si="35"/>
        <v/>
      </c>
    </row>
    <row r="1138" spans="21:27">
      <c r="U1138" s="3" t="str">
        <f t="shared" si="34"/>
        <v/>
      </c>
      <c r="AA1138" s="3" t="str">
        <f t="shared" si="35"/>
        <v/>
      </c>
    </row>
    <row r="1139" spans="21:27">
      <c r="U1139" s="3" t="str">
        <f t="shared" si="34"/>
        <v/>
      </c>
      <c r="AA1139" s="3" t="str">
        <f t="shared" si="35"/>
        <v/>
      </c>
    </row>
    <row r="1140" spans="21:27">
      <c r="U1140" s="3" t="str">
        <f t="shared" si="34"/>
        <v/>
      </c>
      <c r="AA1140" s="3" t="str">
        <f t="shared" si="35"/>
        <v/>
      </c>
    </row>
    <row r="1141" spans="21:27">
      <c r="U1141" s="3" t="str">
        <f t="shared" si="34"/>
        <v/>
      </c>
      <c r="AA1141" s="3" t="str">
        <f t="shared" si="35"/>
        <v/>
      </c>
    </row>
    <row r="1142" spans="21:27">
      <c r="U1142" s="3" t="str">
        <f t="shared" si="34"/>
        <v/>
      </c>
      <c r="AA1142" s="3" t="str">
        <f t="shared" si="35"/>
        <v/>
      </c>
    </row>
    <row r="1143" spans="21:27">
      <c r="U1143" s="3" t="str">
        <f t="shared" si="34"/>
        <v/>
      </c>
      <c r="AA1143" s="3" t="str">
        <f t="shared" si="35"/>
        <v/>
      </c>
    </row>
    <row r="1144" spans="21:27">
      <c r="U1144" s="3" t="str">
        <f t="shared" si="34"/>
        <v/>
      </c>
      <c r="AA1144" s="3" t="str">
        <f t="shared" si="35"/>
        <v/>
      </c>
    </row>
    <row r="1145" spans="21:27">
      <c r="U1145" s="3" t="str">
        <f t="shared" si="34"/>
        <v/>
      </c>
      <c r="AA1145" s="3" t="str">
        <f t="shared" si="35"/>
        <v/>
      </c>
    </row>
    <row r="1146" spans="21:27">
      <c r="U1146" s="3" t="str">
        <f t="shared" si="34"/>
        <v/>
      </c>
      <c r="AA1146" s="3" t="str">
        <f t="shared" si="35"/>
        <v/>
      </c>
    </row>
    <row r="1147" spans="21:27">
      <c r="U1147" s="3" t="str">
        <f t="shared" si="34"/>
        <v/>
      </c>
      <c r="AA1147" s="3" t="str">
        <f t="shared" si="35"/>
        <v/>
      </c>
    </row>
    <row r="1148" spans="21:27">
      <c r="U1148" s="3" t="str">
        <f t="shared" si="34"/>
        <v/>
      </c>
      <c r="AA1148" s="3" t="str">
        <f t="shared" si="35"/>
        <v/>
      </c>
    </row>
    <row r="1149" spans="21:27">
      <c r="U1149" s="3" t="str">
        <f t="shared" si="34"/>
        <v/>
      </c>
      <c r="AA1149" s="3" t="str">
        <f t="shared" si="35"/>
        <v/>
      </c>
    </row>
    <row r="1150" spans="21:27">
      <c r="U1150" s="3" t="str">
        <f t="shared" si="34"/>
        <v/>
      </c>
      <c r="AA1150" s="3" t="str">
        <f t="shared" si="35"/>
        <v/>
      </c>
    </row>
    <row r="1151" spans="21:27">
      <c r="U1151" s="3" t="str">
        <f t="shared" si="34"/>
        <v/>
      </c>
      <c r="AA1151" s="3" t="str">
        <f t="shared" si="35"/>
        <v/>
      </c>
    </row>
    <row r="1152" spans="21:27">
      <c r="U1152" s="3" t="str">
        <f t="shared" si="34"/>
        <v/>
      </c>
      <c r="AA1152" s="3" t="str">
        <f t="shared" si="35"/>
        <v/>
      </c>
    </row>
    <row r="1153" spans="21:27">
      <c r="U1153" s="3" t="str">
        <f t="shared" si="34"/>
        <v/>
      </c>
      <c r="AA1153" s="3" t="str">
        <f t="shared" si="35"/>
        <v/>
      </c>
    </row>
    <row r="1154" spans="21:27">
      <c r="U1154" s="3" t="str">
        <f t="shared" si="34"/>
        <v/>
      </c>
      <c r="AA1154" s="3" t="str">
        <f t="shared" si="35"/>
        <v/>
      </c>
    </row>
    <row r="1155" spans="21:27">
      <c r="U1155" s="3" t="str">
        <f t="shared" si="34"/>
        <v/>
      </c>
      <c r="AA1155" s="3" t="str">
        <f t="shared" si="35"/>
        <v/>
      </c>
    </row>
    <row r="1156" spans="21:27">
      <c r="U1156" s="3" t="str">
        <f t="shared" si="34"/>
        <v/>
      </c>
      <c r="AA1156" s="3" t="str">
        <f t="shared" si="35"/>
        <v/>
      </c>
    </row>
    <row r="1157" spans="21:27">
      <c r="U1157" s="3" t="str">
        <f t="shared" si="34"/>
        <v/>
      </c>
      <c r="AA1157" s="3" t="str">
        <f t="shared" si="35"/>
        <v/>
      </c>
    </row>
    <row r="1158" spans="21:27">
      <c r="U1158" s="3" t="str">
        <f t="shared" ref="U1158:U1221" si="36">IF(S1158="","",IF(T1158="","",H1158))</f>
        <v/>
      </c>
      <c r="AA1158" s="3" t="str">
        <f t="shared" ref="AA1158:AA1221" si="37">IF(V1158="","",IF(X1158="","",H1158))</f>
        <v/>
      </c>
    </row>
    <row r="1159" spans="21:27">
      <c r="U1159" s="3" t="str">
        <f t="shared" si="36"/>
        <v/>
      </c>
      <c r="AA1159" s="3" t="str">
        <f t="shared" si="37"/>
        <v/>
      </c>
    </row>
    <row r="1160" spans="21:27">
      <c r="U1160" s="3" t="str">
        <f t="shared" si="36"/>
        <v/>
      </c>
      <c r="AA1160" s="3" t="str">
        <f t="shared" si="37"/>
        <v/>
      </c>
    </row>
    <row r="1161" spans="21:27">
      <c r="U1161" s="3" t="str">
        <f t="shared" si="36"/>
        <v/>
      </c>
      <c r="AA1161" s="3" t="str">
        <f t="shared" si="37"/>
        <v/>
      </c>
    </row>
    <row r="1162" spans="21:27">
      <c r="U1162" s="3" t="str">
        <f t="shared" si="36"/>
        <v/>
      </c>
      <c r="AA1162" s="3" t="str">
        <f t="shared" si="37"/>
        <v/>
      </c>
    </row>
    <row r="1163" spans="21:27">
      <c r="U1163" s="3" t="str">
        <f t="shared" si="36"/>
        <v/>
      </c>
      <c r="AA1163" s="3" t="str">
        <f t="shared" si="37"/>
        <v/>
      </c>
    </row>
    <row r="1164" spans="21:27">
      <c r="U1164" s="3" t="str">
        <f t="shared" si="36"/>
        <v/>
      </c>
      <c r="AA1164" s="3" t="str">
        <f t="shared" si="37"/>
        <v/>
      </c>
    </row>
    <row r="1165" spans="21:27">
      <c r="U1165" s="3" t="str">
        <f t="shared" si="36"/>
        <v/>
      </c>
      <c r="AA1165" s="3" t="str">
        <f t="shared" si="37"/>
        <v/>
      </c>
    </row>
    <row r="1166" spans="21:27">
      <c r="U1166" s="3" t="str">
        <f t="shared" si="36"/>
        <v/>
      </c>
      <c r="AA1166" s="3" t="str">
        <f t="shared" si="37"/>
        <v/>
      </c>
    </row>
    <row r="1167" spans="21:27">
      <c r="U1167" s="3" t="str">
        <f t="shared" si="36"/>
        <v/>
      </c>
      <c r="AA1167" s="3" t="str">
        <f t="shared" si="37"/>
        <v/>
      </c>
    </row>
    <row r="1168" spans="21:27">
      <c r="U1168" s="3" t="str">
        <f t="shared" si="36"/>
        <v/>
      </c>
      <c r="AA1168" s="3" t="str">
        <f t="shared" si="37"/>
        <v/>
      </c>
    </row>
    <row r="1169" spans="21:27">
      <c r="U1169" s="3" t="str">
        <f t="shared" si="36"/>
        <v/>
      </c>
      <c r="AA1169" s="3" t="str">
        <f t="shared" si="37"/>
        <v/>
      </c>
    </row>
    <row r="1170" spans="21:27">
      <c r="U1170" s="3" t="str">
        <f t="shared" si="36"/>
        <v/>
      </c>
      <c r="AA1170" s="3" t="str">
        <f t="shared" si="37"/>
        <v/>
      </c>
    </row>
    <row r="1171" spans="21:27">
      <c r="U1171" s="3" t="str">
        <f t="shared" si="36"/>
        <v/>
      </c>
      <c r="AA1171" s="3" t="str">
        <f t="shared" si="37"/>
        <v/>
      </c>
    </row>
    <row r="1172" spans="21:27">
      <c r="U1172" s="3" t="str">
        <f t="shared" si="36"/>
        <v/>
      </c>
      <c r="AA1172" s="3" t="str">
        <f t="shared" si="37"/>
        <v/>
      </c>
    </row>
    <row r="1173" spans="21:27">
      <c r="U1173" s="3" t="str">
        <f t="shared" si="36"/>
        <v/>
      </c>
      <c r="AA1173" s="3" t="str">
        <f t="shared" si="37"/>
        <v/>
      </c>
    </row>
    <row r="1174" spans="21:27">
      <c r="U1174" s="3" t="str">
        <f t="shared" si="36"/>
        <v/>
      </c>
      <c r="AA1174" s="3" t="str">
        <f t="shared" si="37"/>
        <v/>
      </c>
    </row>
    <row r="1175" spans="21:27">
      <c r="U1175" s="3" t="str">
        <f t="shared" si="36"/>
        <v/>
      </c>
      <c r="AA1175" s="3" t="str">
        <f t="shared" si="37"/>
        <v/>
      </c>
    </row>
    <row r="1176" spans="21:27">
      <c r="U1176" s="3" t="str">
        <f t="shared" si="36"/>
        <v/>
      </c>
      <c r="AA1176" s="3" t="str">
        <f t="shared" si="37"/>
        <v/>
      </c>
    </row>
    <row r="1177" spans="21:27">
      <c r="U1177" s="3" t="str">
        <f t="shared" si="36"/>
        <v/>
      </c>
      <c r="AA1177" s="3" t="str">
        <f t="shared" si="37"/>
        <v/>
      </c>
    </row>
    <row r="1178" spans="21:27">
      <c r="U1178" s="3" t="str">
        <f t="shared" si="36"/>
        <v/>
      </c>
      <c r="AA1178" s="3" t="str">
        <f t="shared" si="37"/>
        <v/>
      </c>
    </row>
    <row r="1179" spans="21:27">
      <c r="U1179" s="3" t="str">
        <f t="shared" si="36"/>
        <v/>
      </c>
      <c r="AA1179" s="3" t="str">
        <f t="shared" si="37"/>
        <v/>
      </c>
    </row>
    <row r="1180" spans="21:27">
      <c r="U1180" s="3" t="str">
        <f t="shared" si="36"/>
        <v/>
      </c>
      <c r="AA1180" s="3" t="str">
        <f t="shared" si="37"/>
        <v/>
      </c>
    </row>
    <row r="1181" spans="21:27">
      <c r="U1181" s="3" t="str">
        <f t="shared" si="36"/>
        <v/>
      </c>
      <c r="AA1181" s="3" t="str">
        <f t="shared" si="37"/>
        <v/>
      </c>
    </row>
    <row r="1182" spans="21:27">
      <c r="U1182" s="3" t="str">
        <f t="shared" si="36"/>
        <v/>
      </c>
      <c r="AA1182" s="3" t="str">
        <f t="shared" si="37"/>
        <v/>
      </c>
    </row>
    <row r="1183" spans="21:27">
      <c r="U1183" s="3" t="str">
        <f t="shared" si="36"/>
        <v/>
      </c>
      <c r="AA1183" s="3" t="str">
        <f t="shared" si="37"/>
        <v/>
      </c>
    </row>
    <row r="1184" spans="21:27">
      <c r="U1184" s="3" t="str">
        <f t="shared" si="36"/>
        <v/>
      </c>
      <c r="AA1184" s="3" t="str">
        <f t="shared" si="37"/>
        <v/>
      </c>
    </row>
    <row r="1185" spans="21:27">
      <c r="U1185" s="3" t="str">
        <f t="shared" si="36"/>
        <v/>
      </c>
      <c r="AA1185" s="3" t="str">
        <f t="shared" si="37"/>
        <v/>
      </c>
    </row>
    <row r="1186" spans="21:27">
      <c r="U1186" s="3" t="str">
        <f t="shared" si="36"/>
        <v/>
      </c>
      <c r="AA1186" s="3" t="str">
        <f t="shared" si="37"/>
        <v/>
      </c>
    </row>
    <row r="1187" spans="21:27">
      <c r="U1187" s="3" t="str">
        <f t="shared" si="36"/>
        <v/>
      </c>
      <c r="AA1187" s="3" t="str">
        <f t="shared" si="37"/>
        <v/>
      </c>
    </row>
    <row r="1188" spans="21:27">
      <c r="U1188" s="3" t="str">
        <f t="shared" si="36"/>
        <v/>
      </c>
      <c r="AA1188" s="3" t="str">
        <f t="shared" si="37"/>
        <v/>
      </c>
    </row>
    <row r="1189" spans="21:27">
      <c r="U1189" s="3" t="str">
        <f t="shared" si="36"/>
        <v/>
      </c>
      <c r="AA1189" s="3" t="str">
        <f t="shared" si="37"/>
        <v/>
      </c>
    </row>
    <row r="1190" spans="21:27">
      <c r="U1190" s="3" t="str">
        <f t="shared" si="36"/>
        <v/>
      </c>
      <c r="AA1190" s="3" t="str">
        <f t="shared" si="37"/>
        <v/>
      </c>
    </row>
    <row r="1191" spans="21:27">
      <c r="U1191" s="3" t="str">
        <f t="shared" si="36"/>
        <v/>
      </c>
      <c r="AA1191" s="3" t="str">
        <f t="shared" si="37"/>
        <v/>
      </c>
    </row>
    <row r="1192" spans="21:27">
      <c r="U1192" s="3" t="str">
        <f t="shared" si="36"/>
        <v/>
      </c>
      <c r="AA1192" s="3" t="str">
        <f t="shared" si="37"/>
        <v/>
      </c>
    </row>
    <row r="1193" spans="21:27">
      <c r="U1193" s="3" t="str">
        <f t="shared" si="36"/>
        <v/>
      </c>
      <c r="AA1193" s="3" t="str">
        <f t="shared" si="37"/>
        <v/>
      </c>
    </row>
    <row r="1194" spans="21:27">
      <c r="U1194" s="3" t="str">
        <f t="shared" si="36"/>
        <v/>
      </c>
      <c r="AA1194" s="3" t="str">
        <f t="shared" si="37"/>
        <v/>
      </c>
    </row>
    <row r="1195" spans="21:27">
      <c r="U1195" s="3" t="str">
        <f t="shared" si="36"/>
        <v/>
      </c>
      <c r="AA1195" s="3" t="str">
        <f t="shared" si="37"/>
        <v/>
      </c>
    </row>
    <row r="1196" spans="21:27">
      <c r="U1196" s="3" t="str">
        <f t="shared" si="36"/>
        <v/>
      </c>
      <c r="AA1196" s="3" t="str">
        <f t="shared" si="37"/>
        <v/>
      </c>
    </row>
    <row r="1197" spans="21:27">
      <c r="U1197" s="3" t="str">
        <f t="shared" si="36"/>
        <v/>
      </c>
      <c r="AA1197" s="3" t="str">
        <f t="shared" si="37"/>
        <v/>
      </c>
    </row>
    <row r="1198" spans="21:27">
      <c r="U1198" s="3" t="str">
        <f t="shared" si="36"/>
        <v/>
      </c>
      <c r="AA1198" s="3" t="str">
        <f t="shared" si="37"/>
        <v/>
      </c>
    </row>
    <row r="1199" spans="21:27">
      <c r="U1199" s="3" t="str">
        <f t="shared" si="36"/>
        <v/>
      </c>
      <c r="AA1199" s="3" t="str">
        <f t="shared" si="37"/>
        <v/>
      </c>
    </row>
    <row r="1200" spans="21:27">
      <c r="U1200" s="3" t="str">
        <f t="shared" si="36"/>
        <v/>
      </c>
      <c r="AA1200" s="3" t="str">
        <f t="shared" si="37"/>
        <v/>
      </c>
    </row>
    <row r="1201" spans="21:27">
      <c r="U1201" s="3" t="str">
        <f t="shared" si="36"/>
        <v/>
      </c>
      <c r="AA1201" s="3" t="str">
        <f t="shared" si="37"/>
        <v/>
      </c>
    </row>
    <row r="1202" spans="21:27">
      <c r="U1202" s="3" t="str">
        <f t="shared" si="36"/>
        <v/>
      </c>
      <c r="AA1202" s="3" t="str">
        <f t="shared" si="37"/>
        <v/>
      </c>
    </row>
    <row r="1203" spans="21:27">
      <c r="U1203" s="3" t="str">
        <f t="shared" si="36"/>
        <v/>
      </c>
      <c r="AA1203" s="3" t="str">
        <f t="shared" si="37"/>
        <v/>
      </c>
    </row>
    <row r="1204" spans="21:27">
      <c r="U1204" s="3" t="str">
        <f t="shared" si="36"/>
        <v/>
      </c>
      <c r="AA1204" s="3" t="str">
        <f t="shared" si="37"/>
        <v/>
      </c>
    </row>
    <row r="1205" spans="21:27">
      <c r="U1205" s="3" t="str">
        <f t="shared" si="36"/>
        <v/>
      </c>
      <c r="AA1205" s="3" t="str">
        <f t="shared" si="37"/>
        <v/>
      </c>
    </row>
    <row r="1206" spans="21:27">
      <c r="U1206" s="3" t="str">
        <f t="shared" si="36"/>
        <v/>
      </c>
      <c r="AA1206" s="3" t="str">
        <f t="shared" si="37"/>
        <v/>
      </c>
    </row>
    <row r="1207" spans="21:27">
      <c r="U1207" s="3" t="str">
        <f t="shared" si="36"/>
        <v/>
      </c>
      <c r="AA1207" s="3" t="str">
        <f t="shared" si="37"/>
        <v/>
      </c>
    </row>
    <row r="1208" spans="21:27">
      <c r="U1208" s="3" t="str">
        <f t="shared" si="36"/>
        <v/>
      </c>
      <c r="AA1208" s="3" t="str">
        <f t="shared" si="37"/>
        <v/>
      </c>
    </row>
    <row r="1209" spans="21:27">
      <c r="U1209" s="3" t="str">
        <f t="shared" si="36"/>
        <v/>
      </c>
      <c r="AA1209" s="3" t="str">
        <f t="shared" si="37"/>
        <v/>
      </c>
    </row>
    <row r="1210" spans="21:27">
      <c r="U1210" s="3" t="str">
        <f t="shared" si="36"/>
        <v/>
      </c>
      <c r="AA1210" s="3" t="str">
        <f t="shared" si="37"/>
        <v/>
      </c>
    </row>
    <row r="1211" spans="21:27">
      <c r="U1211" s="3" t="str">
        <f t="shared" si="36"/>
        <v/>
      </c>
      <c r="AA1211" s="3" t="str">
        <f t="shared" si="37"/>
        <v/>
      </c>
    </row>
    <row r="1212" spans="21:27">
      <c r="U1212" s="3" t="str">
        <f t="shared" si="36"/>
        <v/>
      </c>
      <c r="AA1212" s="3" t="str">
        <f t="shared" si="37"/>
        <v/>
      </c>
    </row>
    <row r="1213" spans="21:27">
      <c r="U1213" s="3" t="str">
        <f t="shared" si="36"/>
        <v/>
      </c>
      <c r="AA1213" s="3" t="str">
        <f t="shared" si="37"/>
        <v/>
      </c>
    </row>
    <row r="1214" spans="21:27">
      <c r="U1214" s="3" t="str">
        <f t="shared" si="36"/>
        <v/>
      </c>
      <c r="AA1214" s="3" t="str">
        <f t="shared" si="37"/>
        <v/>
      </c>
    </row>
    <row r="1215" spans="21:27">
      <c r="U1215" s="3" t="str">
        <f t="shared" si="36"/>
        <v/>
      </c>
      <c r="AA1215" s="3" t="str">
        <f t="shared" si="37"/>
        <v/>
      </c>
    </row>
    <row r="1216" spans="21:27">
      <c r="U1216" s="3" t="str">
        <f t="shared" si="36"/>
        <v/>
      </c>
      <c r="AA1216" s="3" t="str">
        <f t="shared" si="37"/>
        <v/>
      </c>
    </row>
    <row r="1217" spans="21:27">
      <c r="U1217" s="3" t="str">
        <f t="shared" si="36"/>
        <v/>
      </c>
      <c r="AA1217" s="3" t="str">
        <f t="shared" si="37"/>
        <v/>
      </c>
    </row>
    <row r="1218" spans="21:27">
      <c r="U1218" s="3" t="str">
        <f t="shared" si="36"/>
        <v/>
      </c>
      <c r="AA1218" s="3" t="str">
        <f t="shared" si="37"/>
        <v/>
      </c>
    </row>
    <row r="1219" spans="21:27">
      <c r="U1219" s="3" t="str">
        <f t="shared" si="36"/>
        <v/>
      </c>
      <c r="AA1219" s="3" t="str">
        <f t="shared" si="37"/>
        <v/>
      </c>
    </row>
    <row r="1220" spans="21:27">
      <c r="U1220" s="3" t="str">
        <f t="shared" si="36"/>
        <v/>
      </c>
      <c r="AA1220" s="3" t="str">
        <f t="shared" si="37"/>
        <v/>
      </c>
    </row>
    <row r="1221" spans="21:27">
      <c r="U1221" s="3" t="str">
        <f t="shared" si="36"/>
        <v/>
      </c>
      <c r="AA1221" s="3" t="str">
        <f t="shared" si="37"/>
        <v/>
      </c>
    </row>
    <row r="1222" spans="21:27">
      <c r="U1222" s="3" t="str">
        <f t="shared" ref="U1222:U1285" si="38">IF(S1222="","",IF(T1222="","",H1222))</f>
        <v/>
      </c>
      <c r="AA1222" s="3" t="str">
        <f t="shared" ref="AA1222:AA1285" si="39">IF(V1222="","",IF(X1222="","",H1222))</f>
        <v/>
      </c>
    </row>
    <row r="1223" spans="21:27">
      <c r="U1223" s="3" t="str">
        <f t="shared" si="38"/>
        <v/>
      </c>
      <c r="AA1223" s="3" t="str">
        <f t="shared" si="39"/>
        <v/>
      </c>
    </row>
    <row r="1224" spans="21:27">
      <c r="U1224" s="3" t="str">
        <f t="shared" si="38"/>
        <v/>
      </c>
      <c r="AA1224" s="3" t="str">
        <f t="shared" si="39"/>
        <v/>
      </c>
    </row>
    <row r="1225" spans="21:27">
      <c r="U1225" s="3" t="str">
        <f t="shared" si="38"/>
        <v/>
      </c>
      <c r="AA1225" s="3" t="str">
        <f t="shared" si="39"/>
        <v/>
      </c>
    </row>
    <row r="1226" spans="21:27">
      <c r="U1226" s="3" t="str">
        <f t="shared" si="38"/>
        <v/>
      </c>
      <c r="AA1226" s="3" t="str">
        <f t="shared" si="39"/>
        <v/>
      </c>
    </row>
    <row r="1227" spans="21:27">
      <c r="U1227" s="3" t="str">
        <f t="shared" si="38"/>
        <v/>
      </c>
      <c r="AA1227" s="3" t="str">
        <f t="shared" si="39"/>
        <v/>
      </c>
    </row>
    <row r="1228" spans="21:27">
      <c r="U1228" s="3" t="str">
        <f t="shared" si="38"/>
        <v/>
      </c>
      <c r="AA1228" s="3" t="str">
        <f t="shared" si="39"/>
        <v/>
      </c>
    </row>
    <row r="1229" spans="21:27">
      <c r="U1229" s="3" t="str">
        <f t="shared" si="38"/>
        <v/>
      </c>
      <c r="AA1229" s="3" t="str">
        <f t="shared" si="39"/>
        <v/>
      </c>
    </row>
    <row r="1230" spans="21:27">
      <c r="U1230" s="3" t="str">
        <f t="shared" si="38"/>
        <v/>
      </c>
      <c r="AA1230" s="3" t="str">
        <f t="shared" si="39"/>
        <v/>
      </c>
    </row>
    <row r="1231" spans="21:27">
      <c r="U1231" s="3" t="str">
        <f t="shared" si="38"/>
        <v/>
      </c>
      <c r="AA1231" s="3" t="str">
        <f t="shared" si="39"/>
        <v/>
      </c>
    </row>
    <row r="1232" spans="21:27">
      <c r="U1232" s="3" t="str">
        <f t="shared" si="38"/>
        <v/>
      </c>
      <c r="AA1232" s="3" t="str">
        <f t="shared" si="39"/>
        <v/>
      </c>
    </row>
    <row r="1233" spans="21:27">
      <c r="U1233" s="3" t="str">
        <f t="shared" si="38"/>
        <v/>
      </c>
      <c r="AA1233" s="3" t="str">
        <f t="shared" si="39"/>
        <v/>
      </c>
    </row>
    <row r="1234" spans="21:27">
      <c r="U1234" s="3" t="str">
        <f t="shared" si="38"/>
        <v/>
      </c>
      <c r="AA1234" s="3" t="str">
        <f t="shared" si="39"/>
        <v/>
      </c>
    </row>
    <row r="1235" spans="21:27">
      <c r="U1235" s="3" t="str">
        <f t="shared" si="38"/>
        <v/>
      </c>
      <c r="AA1235" s="3" t="str">
        <f t="shared" si="39"/>
        <v/>
      </c>
    </row>
    <row r="1236" spans="21:27">
      <c r="U1236" s="3" t="str">
        <f t="shared" si="38"/>
        <v/>
      </c>
      <c r="AA1236" s="3" t="str">
        <f t="shared" si="39"/>
        <v/>
      </c>
    </row>
    <row r="1237" spans="21:27">
      <c r="U1237" s="3" t="str">
        <f t="shared" si="38"/>
        <v/>
      </c>
      <c r="AA1237" s="3" t="str">
        <f t="shared" si="39"/>
        <v/>
      </c>
    </row>
    <row r="1238" spans="21:27">
      <c r="U1238" s="3" t="str">
        <f t="shared" si="38"/>
        <v/>
      </c>
      <c r="AA1238" s="3" t="str">
        <f t="shared" si="39"/>
        <v/>
      </c>
    </row>
    <row r="1239" spans="21:27">
      <c r="U1239" s="3" t="str">
        <f t="shared" si="38"/>
        <v/>
      </c>
      <c r="AA1239" s="3" t="str">
        <f t="shared" si="39"/>
        <v/>
      </c>
    </row>
    <row r="1240" spans="21:27">
      <c r="U1240" s="3" t="str">
        <f t="shared" si="38"/>
        <v/>
      </c>
      <c r="AA1240" s="3" t="str">
        <f t="shared" si="39"/>
        <v/>
      </c>
    </row>
    <row r="1241" spans="21:27">
      <c r="U1241" s="3" t="str">
        <f t="shared" si="38"/>
        <v/>
      </c>
      <c r="AA1241" s="3" t="str">
        <f t="shared" si="39"/>
        <v/>
      </c>
    </row>
    <row r="1242" spans="21:27">
      <c r="U1242" s="3" t="str">
        <f t="shared" si="38"/>
        <v/>
      </c>
      <c r="AA1242" s="3" t="str">
        <f t="shared" si="39"/>
        <v/>
      </c>
    </row>
    <row r="1243" spans="21:27">
      <c r="U1243" s="3" t="str">
        <f t="shared" si="38"/>
        <v/>
      </c>
      <c r="AA1243" s="3" t="str">
        <f t="shared" si="39"/>
        <v/>
      </c>
    </row>
    <row r="1244" spans="21:27">
      <c r="U1244" s="3" t="str">
        <f t="shared" si="38"/>
        <v/>
      </c>
      <c r="AA1244" s="3" t="str">
        <f t="shared" si="39"/>
        <v/>
      </c>
    </row>
    <row r="1245" spans="21:27">
      <c r="U1245" s="3" t="str">
        <f t="shared" si="38"/>
        <v/>
      </c>
      <c r="AA1245" s="3" t="str">
        <f t="shared" si="39"/>
        <v/>
      </c>
    </row>
    <row r="1246" spans="21:27">
      <c r="U1246" s="3" t="str">
        <f t="shared" si="38"/>
        <v/>
      </c>
      <c r="AA1246" s="3" t="str">
        <f t="shared" si="39"/>
        <v/>
      </c>
    </row>
    <row r="1247" spans="21:27">
      <c r="U1247" s="3" t="str">
        <f t="shared" si="38"/>
        <v/>
      </c>
      <c r="AA1247" s="3" t="str">
        <f t="shared" si="39"/>
        <v/>
      </c>
    </row>
    <row r="1248" spans="21:27">
      <c r="U1248" s="3" t="str">
        <f t="shared" si="38"/>
        <v/>
      </c>
      <c r="AA1248" s="3" t="str">
        <f t="shared" si="39"/>
        <v/>
      </c>
    </row>
    <row r="1249" spans="21:27">
      <c r="U1249" s="3" t="str">
        <f t="shared" si="38"/>
        <v/>
      </c>
      <c r="AA1249" s="3" t="str">
        <f t="shared" si="39"/>
        <v/>
      </c>
    </row>
    <row r="1250" spans="21:27">
      <c r="U1250" s="3" t="str">
        <f t="shared" si="38"/>
        <v/>
      </c>
      <c r="AA1250" s="3" t="str">
        <f t="shared" si="39"/>
        <v/>
      </c>
    </row>
    <row r="1251" spans="21:27">
      <c r="U1251" s="3" t="str">
        <f t="shared" si="38"/>
        <v/>
      </c>
      <c r="AA1251" s="3" t="str">
        <f t="shared" si="39"/>
        <v/>
      </c>
    </row>
    <row r="1252" spans="21:27">
      <c r="U1252" s="3" t="str">
        <f t="shared" si="38"/>
        <v/>
      </c>
      <c r="AA1252" s="3" t="str">
        <f t="shared" si="39"/>
        <v/>
      </c>
    </row>
    <row r="1253" spans="21:27">
      <c r="U1253" s="3" t="str">
        <f t="shared" si="38"/>
        <v/>
      </c>
      <c r="AA1253" s="3" t="str">
        <f t="shared" si="39"/>
        <v/>
      </c>
    </row>
    <row r="1254" spans="21:27">
      <c r="U1254" s="3" t="str">
        <f t="shared" si="38"/>
        <v/>
      </c>
      <c r="AA1254" s="3" t="str">
        <f t="shared" si="39"/>
        <v/>
      </c>
    </row>
    <row r="1255" spans="21:27">
      <c r="U1255" s="3" t="str">
        <f t="shared" si="38"/>
        <v/>
      </c>
      <c r="AA1255" s="3" t="str">
        <f t="shared" si="39"/>
        <v/>
      </c>
    </row>
    <row r="1256" spans="21:27">
      <c r="U1256" s="3" t="str">
        <f t="shared" si="38"/>
        <v/>
      </c>
      <c r="AA1256" s="3" t="str">
        <f t="shared" si="39"/>
        <v/>
      </c>
    </row>
    <row r="1257" spans="21:27">
      <c r="U1257" s="3" t="str">
        <f t="shared" si="38"/>
        <v/>
      </c>
      <c r="AA1257" s="3" t="str">
        <f t="shared" si="39"/>
        <v/>
      </c>
    </row>
    <row r="1258" spans="21:27">
      <c r="U1258" s="3" t="str">
        <f t="shared" si="38"/>
        <v/>
      </c>
      <c r="AA1258" s="3" t="str">
        <f t="shared" si="39"/>
        <v/>
      </c>
    </row>
    <row r="1259" spans="21:27">
      <c r="U1259" s="3" t="str">
        <f t="shared" si="38"/>
        <v/>
      </c>
      <c r="AA1259" s="3" t="str">
        <f t="shared" si="39"/>
        <v/>
      </c>
    </row>
    <row r="1260" spans="21:27">
      <c r="U1260" s="3" t="str">
        <f t="shared" si="38"/>
        <v/>
      </c>
      <c r="AA1260" s="3" t="str">
        <f t="shared" si="39"/>
        <v/>
      </c>
    </row>
    <row r="1261" spans="21:27">
      <c r="U1261" s="3" t="str">
        <f t="shared" si="38"/>
        <v/>
      </c>
      <c r="AA1261" s="3" t="str">
        <f t="shared" si="39"/>
        <v/>
      </c>
    </row>
    <row r="1262" spans="21:27">
      <c r="U1262" s="3" t="str">
        <f t="shared" si="38"/>
        <v/>
      </c>
      <c r="AA1262" s="3" t="str">
        <f t="shared" si="39"/>
        <v/>
      </c>
    </row>
    <row r="1263" spans="21:27">
      <c r="U1263" s="3" t="str">
        <f t="shared" si="38"/>
        <v/>
      </c>
      <c r="AA1263" s="3" t="str">
        <f t="shared" si="39"/>
        <v/>
      </c>
    </row>
    <row r="1264" spans="21:27">
      <c r="U1264" s="3" t="str">
        <f t="shared" si="38"/>
        <v/>
      </c>
      <c r="AA1264" s="3" t="str">
        <f t="shared" si="39"/>
        <v/>
      </c>
    </row>
    <row r="1265" spans="21:27">
      <c r="U1265" s="3" t="str">
        <f t="shared" si="38"/>
        <v/>
      </c>
      <c r="AA1265" s="3" t="str">
        <f t="shared" si="39"/>
        <v/>
      </c>
    </row>
    <row r="1266" spans="21:27">
      <c r="U1266" s="3" t="str">
        <f t="shared" si="38"/>
        <v/>
      </c>
      <c r="AA1266" s="3" t="str">
        <f t="shared" si="39"/>
        <v/>
      </c>
    </row>
    <row r="1267" spans="21:27">
      <c r="U1267" s="3" t="str">
        <f t="shared" si="38"/>
        <v/>
      </c>
      <c r="AA1267" s="3" t="str">
        <f t="shared" si="39"/>
        <v/>
      </c>
    </row>
    <row r="1268" spans="21:27">
      <c r="U1268" s="3" t="str">
        <f t="shared" si="38"/>
        <v/>
      </c>
      <c r="AA1268" s="3" t="str">
        <f t="shared" si="39"/>
        <v/>
      </c>
    </row>
    <row r="1269" spans="21:27">
      <c r="U1269" s="3" t="str">
        <f t="shared" si="38"/>
        <v/>
      </c>
      <c r="AA1269" s="3" t="str">
        <f t="shared" si="39"/>
        <v/>
      </c>
    </row>
    <row r="1270" spans="21:27">
      <c r="U1270" s="3" t="str">
        <f t="shared" si="38"/>
        <v/>
      </c>
      <c r="AA1270" s="3" t="str">
        <f t="shared" si="39"/>
        <v/>
      </c>
    </row>
    <row r="1271" spans="21:27">
      <c r="U1271" s="3" t="str">
        <f t="shared" si="38"/>
        <v/>
      </c>
      <c r="AA1271" s="3" t="str">
        <f t="shared" si="39"/>
        <v/>
      </c>
    </row>
    <row r="1272" spans="21:27">
      <c r="U1272" s="3" t="str">
        <f t="shared" si="38"/>
        <v/>
      </c>
      <c r="AA1272" s="3" t="str">
        <f t="shared" si="39"/>
        <v/>
      </c>
    </row>
    <row r="1273" spans="21:27">
      <c r="U1273" s="3" t="str">
        <f t="shared" si="38"/>
        <v/>
      </c>
      <c r="AA1273" s="3" t="str">
        <f t="shared" si="39"/>
        <v/>
      </c>
    </row>
    <row r="1274" spans="21:27">
      <c r="U1274" s="3" t="str">
        <f t="shared" si="38"/>
        <v/>
      </c>
      <c r="AA1274" s="3" t="str">
        <f t="shared" si="39"/>
        <v/>
      </c>
    </row>
    <row r="1275" spans="21:27">
      <c r="U1275" s="3" t="str">
        <f t="shared" si="38"/>
        <v/>
      </c>
      <c r="AA1275" s="3" t="str">
        <f t="shared" si="39"/>
        <v/>
      </c>
    </row>
    <row r="1276" spans="21:27">
      <c r="U1276" s="3" t="str">
        <f t="shared" si="38"/>
        <v/>
      </c>
      <c r="AA1276" s="3" t="str">
        <f t="shared" si="39"/>
        <v/>
      </c>
    </row>
    <row r="1277" spans="21:27">
      <c r="U1277" s="3" t="str">
        <f t="shared" si="38"/>
        <v/>
      </c>
      <c r="AA1277" s="3" t="str">
        <f t="shared" si="39"/>
        <v/>
      </c>
    </row>
    <row r="1278" spans="21:27">
      <c r="U1278" s="3" t="str">
        <f t="shared" si="38"/>
        <v/>
      </c>
      <c r="AA1278" s="3" t="str">
        <f t="shared" si="39"/>
        <v/>
      </c>
    </row>
    <row r="1279" spans="21:27">
      <c r="U1279" s="3" t="str">
        <f t="shared" si="38"/>
        <v/>
      </c>
      <c r="AA1279" s="3" t="str">
        <f t="shared" si="39"/>
        <v/>
      </c>
    </row>
    <row r="1280" spans="21:27">
      <c r="U1280" s="3" t="str">
        <f t="shared" si="38"/>
        <v/>
      </c>
      <c r="AA1280" s="3" t="str">
        <f t="shared" si="39"/>
        <v/>
      </c>
    </row>
    <row r="1281" spans="21:27">
      <c r="U1281" s="3" t="str">
        <f t="shared" si="38"/>
        <v/>
      </c>
      <c r="AA1281" s="3" t="str">
        <f t="shared" si="39"/>
        <v/>
      </c>
    </row>
    <row r="1282" spans="21:27">
      <c r="U1282" s="3" t="str">
        <f t="shared" si="38"/>
        <v/>
      </c>
      <c r="AA1282" s="3" t="str">
        <f t="shared" si="39"/>
        <v/>
      </c>
    </row>
    <row r="1283" spans="21:27">
      <c r="U1283" s="3" t="str">
        <f t="shared" si="38"/>
        <v/>
      </c>
      <c r="AA1283" s="3" t="str">
        <f t="shared" si="39"/>
        <v/>
      </c>
    </row>
    <row r="1284" spans="21:27">
      <c r="U1284" s="3" t="str">
        <f t="shared" si="38"/>
        <v/>
      </c>
      <c r="AA1284" s="3" t="str">
        <f t="shared" si="39"/>
        <v/>
      </c>
    </row>
    <row r="1285" spans="21:27">
      <c r="U1285" s="3" t="str">
        <f t="shared" si="38"/>
        <v/>
      </c>
      <c r="AA1285" s="3" t="str">
        <f t="shared" si="39"/>
        <v/>
      </c>
    </row>
    <row r="1286" spans="21:27">
      <c r="U1286" s="3" t="str">
        <f t="shared" ref="U1286:U1294" si="40">IF(S1286="","",IF(T1286="","",H1286))</f>
        <v/>
      </c>
      <c r="AA1286" s="3" t="str">
        <f t="shared" ref="AA1286:AA1293" si="41">IF(V1286="","",IF(X1286="","",H1286))</f>
        <v/>
      </c>
    </row>
    <row r="1287" spans="21:27">
      <c r="U1287" s="3" t="str">
        <f t="shared" si="40"/>
        <v/>
      </c>
      <c r="AA1287" s="3" t="str">
        <f t="shared" si="41"/>
        <v/>
      </c>
    </row>
    <row r="1288" spans="21:27">
      <c r="U1288" s="3" t="str">
        <f t="shared" si="40"/>
        <v/>
      </c>
      <c r="AA1288" s="3" t="str">
        <f t="shared" si="41"/>
        <v/>
      </c>
    </row>
    <row r="1289" spans="21:27">
      <c r="U1289" s="3" t="str">
        <f t="shared" si="40"/>
        <v/>
      </c>
      <c r="AA1289" s="3" t="str">
        <f t="shared" si="41"/>
        <v/>
      </c>
    </row>
    <row r="1290" spans="21:27">
      <c r="U1290" s="3" t="str">
        <f t="shared" si="40"/>
        <v/>
      </c>
      <c r="AA1290" s="3" t="str">
        <f t="shared" si="41"/>
        <v/>
      </c>
    </row>
    <row r="1291" spans="21:27">
      <c r="U1291" s="3" t="str">
        <f t="shared" si="40"/>
        <v/>
      </c>
      <c r="AA1291" s="3" t="str">
        <f t="shared" si="41"/>
        <v/>
      </c>
    </row>
    <row r="1292" spans="21:27">
      <c r="U1292" s="3" t="str">
        <f t="shared" si="40"/>
        <v/>
      </c>
      <c r="AA1292" s="3" t="str">
        <f t="shared" si="41"/>
        <v/>
      </c>
    </row>
    <row r="1293" spans="21:27">
      <c r="U1293" s="3" t="str">
        <f t="shared" si="40"/>
        <v/>
      </c>
      <c r="AA1293" s="3" t="str">
        <f t="shared" si="41"/>
        <v/>
      </c>
    </row>
    <row r="1294" spans="21:27">
      <c r="U1294" s="3" t="str">
        <f t="shared" si="40"/>
        <v/>
      </c>
    </row>
  </sheetData>
  <autoFilter ref="A4:AE1294">
    <filterColumn colId="4">
      <filters blank="1">
        <filter val="104"/>
        <filter val="109"/>
        <filter val="112"/>
        <filter val="115"/>
        <filter val="116"/>
        <filter val="117"/>
        <filter val="118"/>
        <filter val="120"/>
        <filter val="121"/>
        <filter val="133"/>
        <filter val="137"/>
        <filter val="138"/>
        <filter val="146"/>
        <filter val="151"/>
        <filter val="152"/>
        <filter val="153"/>
        <filter val="156"/>
        <filter val="172"/>
        <filter val="173"/>
        <filter val="18"/>
        <filter val="180"/>
        <filter val="186"/>
        <filter val="189"/>
        <filter val="199"/>
        <filter val="20"/>
        <filter val="202"/>
        <filter val="206"/>
        <filter val="207"/>
        <filter val="209"/>
        <filter val="212"/>
        <filter val="219"/>
        <filter val="22"/>
        <filter val="225"/>
        <filter val="23"/>
        <filter val="231"/>
        <filter val="233"/>
        <filter val="237"/>
        <filter val="239"/>
        <filter val="24"/>
        <filter val="243"/>
        <filter val="247"/>
        <filter val="248"/>
        <filter val="25"/>
        <filter val="259"/>
        <filter val="260"/>
        <filter val="264"/>
        <filter val="270"/>
        <filter val="273"/>
        <filter val="275"/>
        <filter val="284"/>
        <filter val="286"/>
        <filter val="287"/>
        <filter val="296"/>
        <filter val="299"/>
        <filter val="300"/>
        <filter val="308"/>
        <filter val="330"/>
        <filter val="34"/>
        <filter val="341"/>
        <filter val="368"/>
        <filter val="37"/>
        <filter val="380"/>
        <filter val="382"/>
        <filter val="384"/>
        <filter val="388"/>
        <filter val="390"/>
        <filter val="391"/>
        <filter val="413"/>
        <filter val="417"/>
        <filter val="420"/>
        <filter val="423"/>
        <filter val="430"/>
        <filter val="431"/>
        <filter val="432"/>
        <filter val="435"/>
        <filter val="440"/>
        <filter val="442"/>
        <filter val="459"/>
        <filter val="46"/>
        <filter val="463"/>
        <filter val="47"/>
        <filter val="475"/>
        <filter val="48"/>
        <filter val="488"/>
        <filter val="497"/>
        <filter val="507"/>
        <filter val="521"/>
        <filter val="53"/>
        <filter val="531"/>
        <filter val="54"/>
        <filter val="542"/>
        <filter val="546"/>
        <filter val="559"/>
        <filter val="569"/>
        <filter val="59"/>
        <filter val="596"/>
        <filter val="610"/>
        <filter val="615"/>
        <filter val="642"/>
        <filter val="646"/>
        <filter val="65"/>
        <filter val="650"/>
        <filter val="66"/>
        <filter val="675"/>
        <filter val="69"/>
        <filter val="690"/>
        <filter val="693"/>
        <filter val="705"/>
        <filter val="71"/>
        <filter val="76"/>
        <filter val="78"/>
        <filter val="79"/>
        <filter val="790"/>
        <filter val="817"/>
        <filter val="833"/>
        <filter val="86"/>
        <filter val="877"/>
        <filter val="94"/>
        <filter val="95"/>
        <filter val="96"/>
        <filter val="97"/>
        <filter val="98"/>
      </filters>
    </filterColumn>
    <filterColumn colId="5">
      <filters blank="1">
        <filter val="1092"/>
        <filter val="1186"/>
        <filter val="1208"/>
        <filter val="1215"/>
        <filter val="1325"/>
        <filter val="1514"/>
        <filter val="1530"/>
        <filter val="1564"/>
        <filter val="2054"/>
        <filter val="207"/>
        <filter val="2161"/>
        <filter val="2252"/>
        <filter val="232"/>
        <filter val="236"/>
        <filter val="260"/>
        <filter val="2647"/>
        <filter val="301"/>
        <filter val="308"/>
        <filter val="3093"/>
        <filter val="3154"/>
        <filter val="333"/>
        <filter val="370"/>
        <filter val="372"/>
        <filter val="398"/>
        <filter val="4018"/>
        <filter val="409"/>
        <filter val="421"/>
        <filter val="479"/>
        <filter val="499"/>
        <filter val="506"/>
        <filter val="519"/>
        <filter val="564"/>
        <filter val="570"/>
        <filter val="589"/>
        <filter val="738"/>
        <filter val="773"/>
        <filter val="805"/>
        <filter val="917"/>
        <filter val="949"/>
        <filter val="950"/>
        <filter val="995"/>
      </filters>
    </filterColumn>
  </autoFilter>
  <mergeCells count="9">
    <mergeCell ref="J1:K1"/>
    <mergeCell ref="M1:N1"/>
    <mergeCell ref="AA2:AD2"/>
    <mergeCell ref="AA3:AD3"/>
    <mergeCell ref="B2:E2"/>
    <mergeCell ref="H2:T2"/>
    <mergeCell ref="U2:X2"/>
    <mergeCell ref="H3:T3"/>
    <mergeCell ref="U3:X3"/>
  </mergeCells>
  <phoneticPr fontId="1"/>
  <conditionalFormatting sqref="E5:G5">
    <cfRule type="expression" dxfId="9" priority="26">
      <formula>0</formula>
    </cfRule>
  </conditionalFormatting>
  <conditionalFormatting sqref="E8:E13 E17:E22">
    <cfRule type="expression" dxfId="8" priority="11">
      <formula>"and $E$6=0 and $D$6&lt;&gt;"""""</formula>
    </cfRule>
  </conditionalFormatting>
  <conditionalFormatting sqref="E8">
    <cfRule type="cellIs" dxfId="7" priority="10" operator="between">
      <formula>5</formula>
      <formula>10</formula>
    </cfRule>
  </conditionalFormatting>
  <conditionalFormatting sqref="E6:G6">
    <cfRule type="expression" dxfId="6" priority="9">
      <formula>0</formula>
    </cfRule>
  </conditionalFormatting>
  <conditionalFormatting sqref="E7:G7">
    <cfRule type="expression" dxfId="5" priority="8">
      <formula>0</formula>
    </cfRule>
  </conditionalFormatting>
  <conditionalFormatting sqref="B5:B1500">
    <cfRule type="expression" dxfId="4" priority="7">
      <formula>$E5&gt;5</formula>
    </cfRule>
  </conditionalFormatting>
  <conditionalFormatting sqref="E16">
    <cfRule type="expression" dxfId="3" priority="6">
      <formula>"and $E$6=0 and $D$6&lt;&gt;"""""</formula>
    </cfRule>
  </conditionalFormatting>
  <conditionalFormatting sqref="E15">
    <cfRule type="expression" dxfId="2" priority="5">
      <formula>"and $E$6=0 and $D$6&lt;&gt;"""""</formula>
    </cfRule>
  </conditionalFormatting>
  <conditionalFormatting sqref="E14">
    <cfRule type="expression" dxfId="1" priority="4">
      <formula>"and $E$6=0 and $D$6&lt;&gt;"""""</formula>
    </cfRule>
  </conditionalFormatting>
  <conditionalFormatting sqref="H5:H2000">
    <cfRule type="expression" dxfId="0" priority="1">
      <formula>LEFT(H5,2)="++"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関節点処理">
          <controlPr defaultSize="0" autoLine="0" autoPict="0" r:id="rId5">
            <anchor moveWithCells="1">
              <from>
                <xdr:col>21</xdr:col>
                <xdr:colOff>381000</xdr:colOff>
                <xdr:row>1</xdr:row>
                <xdr:rowOff>447675</xdr:rowOff>
              </from>
              <to>
                <xdr:col>22</xdr:col>
                <xdr:colOff>571500</xdr:colOff>
                <xdr:row>1</xdr:row>
                <xdr:rowOff>838200</xdr:rowOff>
              </to>
            </anchor>
          </controlPr>
        </control>
      </mc:Choice>
      <mc:Fallback>
        <control shapeId="1029" r:id="rId4" name="関節点処理"/>
      </mc:Fallback>
    </mc:AlternateContent>
    <mc:AlternateContent xmlns:mc="http://schemas.openxmlformats.org/markup-compatibility/2006">
      <mc:Choice Requires="x14">
        <control shapeId="1026" r:id="rId6" name="モザイク起動">
          <controlPr defaultSize="0" autoLine="0" r:id="rId7">
            <anchor moveWithCells="1">
              <from>
                <xdr:col>10</xdr:col>
                <xdr:colOff>0</xdr:colOff>
                <xdr:row>1</xdr:row>
                <xdr:rowOff>390525</xdr:rowOff>
              </from>
              <to>
                <xdr:col>15</xdr:col>
                <xdr:colOff>104775</xdr:colOff>
                <xdr:row>1</xdr:row>
                <xdr:rowOff>838200</xdr:rowOff>
              </to>
            </anchor>
          </controlPr>
        </control>
      </mc:Choice>
      <mc:Fallback>
        <control shapeId="1026" r:id="rId6" name="モザイク起動"/>
      </mc:Fallback>
    </mc:AlternateContent>
    <mc:AlternateContent xmlns:mc="http://schemas.openxmlformats.org/markup-compatibility/2006">
      <mc:Choice Requires="x14">
        <control shapeId="1025" r:id="rId8" name="imgData作成">
          <controlPr defaultSize="0" autoLine="0" r:id="rId9">
            <anchor moveWithCells="1">
              <from>
                <xdr:col>1</xdr:col>
                <xdr:colOff>6791325</xdr:colOff>
                <xdr:row>1</xdr:row>
                <xdr:rowOff>238125</xdr:rowOff>
              </from>
              <to>
                <xdr:col>2</xdr:col>
                <xdr:colOff>1171575</xdr:colOff>
                <xdr:row>1</xdr:row>
                <xdr:rowOff>733425</xdr:rowOff>
              </to>
            </anchor>
          </controlPr>
        </control>
      </mc:Choice>
      <mc:Fallback>
        <control shapeId="1025" r:id="rId8" name="imgData作成"/>
      </mc:Fallback>
    </mc:AlternateContent>
    <mc:AlternateContent xmlns:mc="http://schemas.openxmlformats.org/markup-compatibility/2006">
      <mc:Choice Requires="x14">
        <control shapeId="1028" r:id="rId10" name="行動データ">
          <controlPr defaultSize="0" autoLine="0" r:id="rId11">
            <anchor moveWithCells="1">
              <from>
                <xdr:col>27</xdr:col>
                <xdr:colOff>76200</xdr:colOff>
                <xdr:row>1</xdr:row>
                <xdr:rowOff>400050</xdr:rowOff>
              </from>
              <to>
                <xdr:col>28</xdr:col>
                <xdr:colOff>314325</xdr:colOff>
                <xdr:row>1</xdr:row>
                <xdr:rowOff>838200</xdr:rowOff>
              </to>
            </anchor>
          </controlPr>
        </control>
      </mc:Choice>
      <mc:Fallback>
        <control shapeId="1028" r:id="rId10" name="行動データ"/>
      </mc:Fallback>
    </mc:AlternateContent>
    <mc:AlternateContent xmlns:mc="http://schemas.openxmlformats.org/markup-compatibility/2006">
      <mc:Choice Requires="x14">
        <control shapeId="1030" r:id="rId12" name="カットの追加">
          <controlPr defaultSize="0" autoLine="0" r:id="rId13">
            <anchor moveWithCells="1">
              <from>
                <xdr:col>1</xdr:col>
                <xdr:colOff>4133850</xdr:colOff>
                <xdr:row>1</xdr:row>
                <xdr:rowOff>609600</xdr:rowOff>
              </from>
              <to>
                <xdr:col>1</xdr:col>
                <xdr:colOff>5105400</xdr:colOff>
                <xdr:row>1</xdr:row>
                <xdr:rowOff>895350</xdr:rowOff>
              </to>
            </anchor>
          </controlPr>
        </control>
      </mc:Choice>
      <mc:Fallback>
        <control shapeId="1030" r:id="rId12" name="カットの追加"/>
      </mc:Fallback>
    </mc:AlternateContent>
    <mc:AlternateContent xmlns:mc="http://schemas.openxmlformats.org/markup-compatibility/2006">
      <mc:Choice Requires="x14">
        <control shapeId="1032" r:id="rId14" name="BMP結合">
          <controlPr defaultSize="0" autoLine="0" r:id="rId15">
            <anchor moveWithCells="1">
              <from>
                <xdr:col>4</xdr:col>
                <xdr:colOff>390525</xdr:colOff>
                <xdr:row>1</xdr:row>
                <xdr:rowOff>85725</xdr:rowOff>
              </from>
              <to>
                <xdr:col>6</xdr:col>
                <xdr:colOff>400050</xdr:colOff>
                <xdr:row>1</xdr:row>
                <xdr:rowOff>457200</xdr:rowOff>
              </to>
            </anchor>
          </controlPr>
        </control>
      </mc:Choice>
      <mc:Fallback>
        <control shapeId="1032" r:id="rId14" name="BMP結合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8"/>
  <sheetViews>
    <sheetView workbookViewId="0">
      <selection activeCell="A10" sqref="A10"/>
    </sheetView>
  </sheetViews>
  <sheetFormatPr defaultRowHeight="13.5"/>
  <cols>
    <col min="1" max="1" width="11.5" style="2" customWidth="1"/>
    <col min="2" max="2" width="10.375" customWidth="1"/>
    <col min="4" max="4" width="70.75" customWidth="1"/>
  </cols>
  <sheetData>
    <row r="1" spans="1:4">
      <c r="A1" s="8"/>
      <c r="D1" t="s">
        <v>16</v>
      </c>
    </row>
    <row r="2" spans="1:4">
      <c r="A2" s="2" t="s">
        <v>3</v>
      </c>
      <c r="B2" s="2" t="s">
        <v>5</v>
      </c>
      <c r="D2" s="4" t="s">
        <v>7</v>
      </c>
    </row>
    <row r="3" spans="1:4">
      <c r="B3" s="2" t="s">
        <v>6</v>
      </c>
      <c r="D3" t="s">
        <v>8</v>
      </c>
    </row>
    <row r="4" spans="1:4">
      <c r="A4" s="2" t="s">
        <v>4</v>
      </c>
      <c r="B4" s="2"/>
      <c r="D4" t="s">
        <v>9</v>
      </c>
    </row>
    <row r="5" spans="1:4">
      <c r="D5" t="s">
        <v>596</v>
      </c>
    </row>
    <row r="6" spans="1:4">
      <c r="D6" t="s">
        <v>10</v>
      </c>
    </row>
    <row r="7" spans="1:4">
      <c r="D7" t="s">
        <v>11</v>
      </c>
    </row>
    <row r="8" spans="1:4">
      <c r="D8" t="s">
        <v>12</v>
      </c>
    </row>
    <row r="9" spans="1:4">
      <c r="A9" s="2" t="s">
        <v>85</v>
      </c>
      <c r="B9" s="8" t="s">
        <v>86</v>
      </c>
      <c r="D9" t="s">
        <v>13</v>
      </c>
    </row>
    <row r="10" spans="1:4">
      <c r="D10" t="s">
        <v>14</v>
      </c>
    </row>
    <row r="11" spans="1:4">
      <c r="D11" t="s">
        <v>15</v>
      </c>
    </row>
    <row r="13" spans="1:4">
      <c r="A13" s="57" t="s">
        <v>84</v>
      </c>
      <c r="B13" s="57"/>
    </row>
    <row r="14" spans="1:4" ht="57">
      <c r="A14" s="36" t="s">
        <v>50</v>
      </c>
      <c r="B14" s="36" t="s">
        <v>51</v>
      </c>
    </row>
    <row r="15" spans="1:4" ht="14.25">
      <c r="A15" s="37" t="s">
        <v>52</v>
      </c>
      <c r="B15" s="38" t="s">
        <v>53</v>
      </c>
      <c r="D15" t="s">
        <v>21</v>
      </c>
    </row>
    <row r="16" spans="1:4" ht="14.25">
      <c r="A16" s="37" t="s">
        <v>54</v>
      </c>
      <c r="B16" s="39" t="s">
        <v>55</v>
      </c>
      <c r="D16" s="13" t="s">
        <v>7</v>
      </c>
    </row>
    <row r="17" spans="1:4" ht="14.25">
      <c r="A17" s="37" t="s">
        <v>56</v>
      </c>
      <c r="B17" s="39" t="s">
        <v>57</v>
      </c>
      <c r="D17" t="s">
        <v>20</v>
      </c>
    </row>
    <row r="18" spans="1:4" ht="14.25">
      <c r="A18" s="37" t="s">
        <v>58</v>
      </c>
      <c r="B18" s="39" t="s">
        <v>59</v>
      </c>
      <c r="D18" t="s">
        <v>9</v>
      </c>
    </row>
    <row r="19" spans="1:4" ht="14.25">
      <c r="A19" s="37" t="s">
        <v>60</v>
      </c>
      <c r="B19" s="39" t="s">
        <v>61</v>
      </c>
      <c r="D19" t="s">
        <v>40</v>
      </c>
    </row>
    <row r="20" spans="1:4" ht="14.25">
      <c r="A20" s="37" t="s">
        <v>62</v>
      </c>
      <c r="B20" s="39" t="s">
        <v>63</v>
      </c>
      <c r="D20" t="s">
        <v>10</v>
      </c>
    </row>
    <row r="21" spans="1:4" ht="14.25">
      <c r="A21" s="37" t="s">
        <v>64</v>
      </c>
      <c r="B21" s="39" t="s">
        <v>65</v>
      </c>
      <c r="D21" t="s">
        <v>11</v>
      </c>
    </row>
    <row r="22" spans="1:4" ht="14.25">
      <c r="A22" s="37" t="s">
        <v>66</v>
      </c>
      <c r="B22" s="39" t="s">
        <v>67</v>
      </c>
      <c r="D22" t="s">
        <v>12</v>
      </c>
    </row>
    <row r="23" spans="1:4" ht="14.25">
      <c r="A23" s="37" t="s">
        <v>68</v>
      </c>
      <c r="B23" s="39" t="s">
        <v>69</v>
      </c>
      <c r="D23" t="s">
        <v>13</v>
      </c>
    </row>
    <row r="24" spans="1:4" ht="14.25">
      <c r="A24" s="37" t="s">
        <v>70</v>
      </c>
      <c r="B24" s="39" t="s">
        <v>71</v>
      </c>
      <c r="D24" t="s">
        <v>14</v>
      </c>
    </row>
    <row r="25" spans="1:4" ht="14.25">
      <c r="A25" s="37" t="s">
        <v>72</v>
      </c>
      <c r="B25" s="39" t="s">
        <v>73</v>
      </c>
      <c r="D25" t="s">
        <v>15</v>
      </c>
    </row>
    <row r="26" spans="1:4" ht="14.25">
      <c r="A26" s="37" t="s">
        <v>74</v>
      </c>
      <c r="B26" s="39" t="s">
        <v>75</v>
      </c>
    </row>
    <row r="27" spans="1:4" ht="14.25">
      <c r="A27" s="37" t="s">
        <v>76</v>
      </c>
      <c r="B27" s="39" t="s">
        <v>77</v>
      </c>
    </row>
    <row r="28" spans="1:4" ht="14.25">
      <c r="A28" s="37" t="s">
        <v>78</v>
      </c>
      <c r="B28" s="39" t="s">
        <v>79</v>
      </c>
    </row>
    <row r="29" spans="1:4" ht="14.25">
      <c r="A29" s="37" t="s">
        <v>80</v>
      </c>
      <c r="B29" s="39" t="s">
        <v>81</v>
      </c>
    </row>
    <row r="30" spans="1:4" ht="14.25">
      <c r="A30" s="37" t="s">
        <v>82</v>
      </c>
      <c r="B30" s="39" t="s">
        <v>83</v>
      </c>
      <c r="D30" t="s">
        <v>25</v>
      </c>
    </row>
    <row r="31" spans="1:4">
      <c r="D31" s="13" t="s">
        <v>7</v>
      </c>
    </row>
    <row r="32" spans="1:4">
      <c r="D32" t="s">
        <v>22</v>
      </c>
    </row>
    <row r="33" spans="4:4">
      <c r="D33" t="s">
        <v>9</v>
      </c>
    </row>
    <row r="34" spans="4:4">
      <c r="D34" t="s">
        <v>40</v>
      </c>
    </row>
    <row r="35" spans="4:4">
      <c r="D35" t="s">
        <v>10</v>
      </c>
    </row>
    <row r="36" spans="4:4">
      <c r="D36" t="s">
        <v>11</v>
      </c>
    </row>
    <row r="37" spans="4:4">
      <c r="D37" t="s">
        <v>23</v>
      </c>
    </row>
    <row r="38" spans="4:4">
      <c r="D38" t="s">
        <v>24</v>
      </c>
    </row>
  </sheetData>
  <mergeCells count="1">
    <mergeCell ref="A13:B1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23"/>
  <sheetViews>
    <sheetView workbookViewId="0">
      <selection activeCell="H236" sqref="H236"/>
    </sheetView>
  </sheetViews>
  <sheetFormatPr defaultRowHeight="13.5"/>
  <cols>
    <col min="2" max="2" width="101.625" customWidth="1"/>
    <col min="11" max="11" width="11" customWidth="1"/>
    <col min="12" max="12" width="52.125" customWidth="1"/>
  </cols>
  <sheetData>
    <row r="1" spans="1:12">
      <c r="A1">
        <v>1</v>
      </c>
      <c r="B1" t="s">
        <v>87</v>
      </c>
      <c r="C1">
        <v>42797.468078703707</v>
      </c>
      <c r="D1" t="s">
        <v>88</v>
      </c>
      <c r="E1">
        <v>284</v>
      </c>
      <c r="H1" t="s">
        <v>89</v>
      </c>
      <c r="J1" t="str">
        <f t="shared" ref="J1:J64" si="0">IF(B1=L1,"〇","×")</f>
        <v>〇</v>
      </c>
      <c r="L1" t="s">
        <v>87</v>
      </c>
    </row>
    <row r="2" spans="1:12">
      <c r="A2">
        <v>1</v>
      </c>
      <c r="B2" t="s">
        <v>90</v>
      </c>
      <c r="C2">
        <v>42797.47148148148</v>
      </c>
      <c r="D2" t="s">
        <v>88</v>
      </c>
      <c r="E2">
        <v>104</v>
      </c>
      <c r="H2" t="s">
        <v>91</v>
      </c>
      <c r="J2" t="str">
        <f t="shared" si="0"/>
        <v>〇</v>
      </c>
      <c r="L2" t="s">
        <v>90</v>
      </c>
    </row>
    <row r="3" spans="1:12">
      <c r="A3">
        <v>2</v>
      </c>
      <c r="B3" t="s">
        <v>92</v>
      </c>
      <c r="C3">
        <v>42797.476354166669</v>
      </c>
      <c r="D3" t="s">
        <v>88</v>
      </c>
      <c r="E3">
        <v>264</v>
      </c>
      <c r="H3" t="s">
        <v>93</v>
      </c>
      <c r="J3" t="str">
        <f t="shared" si="0"/>
        <v>〇</v>
      </c>
      <c r="L3" t="s">
        <v>92</v>
      </c>
    </row>
    <row r="4" spans="1:12">
      <c r="A4">
        <v>3</v>
      </c>
      <c r="B4" t="s">
        <v>94</v>
      </c>
      <c r="C4">
        <v>42797.479537037034</v>
      </c>
      <c r="D4" t="s">
        <v>88</v>
      </c>
      <c r="E4">
        <v>260</v>
      </c>
      <c r="H4" t="s">
        <v>95</v>
      </c>
      <c r="J4" t="str">
        <f t="shared" si="0"/>
        <v>〇</v>
      </c>
      <c r="L4" t="s">
        <v>94</v>
      </c>
    </row>
    <row r="5" spans="1:12">
      <c r="A5">
        <v>3</v>
      </c>
      <c r="B5" t="s">
        <v>96</v>
      </c>
      <c r="C5">
        <v>42797.482094907406</v>
      </c>
      <c r="D5" t="s">
        <v>88</v>
      </c>
      <c r="E5">
        <v>330</v>
      </c>
      <c r="G5" t="s">
        <v>97</v>
      </c>
      <c r="H5" t="s">
        <v>98</v>
      </c>
      <c r="J5" t="str">
        <f t="shared" si="0"/>
        <v>×</v>
      </c>
    </row>
    <row r="6" spans="1:12">
      <c r="A6">
        <v>2</v>
      </c>
      <c r="B6" t="s">
        <v>99</v>
      </c>
      <c r="C6">
        <v>42797.484560185185</v>
      </c>
      <c r="D6" t="s">
        <v>88</v>
      </c>
      <c r="E6">
        <v>259</v>
      </c>
      <c r="G6" t="s">
        <v>100</v>
      </c>
      <c r="H6" t="s">
        <v>101</v>
      </c>
      <c r="J6" t="str">
        <f t="shared" si="0"/>
        <v>〇</v>
      </c>
      <c r="L6" t="s">
        <v>99</v>
      </c>
    </row>
    <row r="7" spans="1:12">
      <c r="A7">
        <v>1</v>
      </c>
      <c r="B7" t="s">
        <v>102</v>
      </c>
      <c r="C7">
        <v>42797.487037037034</v>
      </c>
      <c r="D7" t="s">
        <v>88</v>
      </c>
      <c r="E7">
        <v>287</v>
      </c>
      <c r="G7" t="s">
        <v>97</v>
      </c>
      <c r="H7" t="s">
        <v>103</v>
      </c>
      <c r="J7" t="str">
        <f t="shared" si="0"/>
        <v>〇</v>
      </c>
      <c r="L7" t="s">
        <v>102</v>
      </c>
    </row>
    <row r="8" spans="1:12">
      <c r="A8">
        <v>1</v>
      </c>
      <c r="B8" t="s">
        <v>104</v>
      </c>
      <c r="C8">
        <v>42797.489305555559</v>
      </c>
      <c r="D8" t="s">
        <v>88</v>
      </c>
      <c r="E8">
        <v>915</v>
      </c>
      <c r="G8" t="s">
        <v>105</v>
      </c>
      <c r="H8" t="s">
        <v>106</v>
      </c>
      <c r="J8" t="str">
        <f t="shared" si="0"/>
        <v>〇</v>
      </c>
      <c r="L8" t="s">
        <v>104</v>
      </c>
    </row>
    <row r="9" spans="1:12">
      <c r="A9">
        <v>1</v>
      </c>
      <c r="B9" t="s">
        <v>107</v>
      </c>
      <c r="C9">
        <v>42797.491226851853</v>
      </c>
      <c r="D9" t="s">
        <v>88</v>
      </c>
      <c r="E9">
        <v>362</v>
      </c>
      <c r="G9" t="s">
        <v>100</v>
      </c>
      <c r="H9" t="s">
        <v>108</v>
      </c>
      <c r="J9" t="str">
        <f t="shared" si="0"/>
        <v>〇</v>
      </c>
      <c r="L9" t="s">
        <v>107</v>
      </c>
    </row>
    <row r="10" spans="1:12">
      <c r="A10">
        <v>2</v>
      </c>
      <c r="B10" t="s">
        <v>109</v>
      </c>
      <c r="C10">
        <v>42797.492638888885</v>
      </c>
      <c r="D10" t="s">
        <v>88</v>
      </c>
      <c r="E10" t="s">
        <v>110</v>
      </c>
      <c r="J10" t="str">
        <f t="shared" si="0"/>
        <v>〇</v>
      </c>
      <c r="L10" t="s">
        <v>109</v>
      </c>
    </row>
    <row r="11" spans="1:12">
      <c r="A11">
        <v>2</v>
      </c>
      <c r="B11" t="s">
        <v>111</v>
      </c>
      <c r="C11">
        <v>42797.530763888892</v>
      </c>
      <c r="D11" t="s">
        <v>88</v>
      </c>
      <c r="E11">
        <v>231</v>
      </c>
      <c r="H11" t="s">
        <v>112</v>
      </c>
      <c r="J11" t="str">
        <f t="shared" si="0"/>
        <v>〇</v>
      </c>
      <c r="L11" t="s">
        <v>111</v>
      </c>
    </row>
    <row r="12" spans="1:12">
      <c r="A12">
        <v>1</v>
      </c>
      <c r="B12" t="s">
        <v>113</v>
      </c>
      <c r="C12">
        <v>42797.49732638889</v>
      </c>
      <c r="D12" t="s">
        <v>88</v>
      </c>
      <c r="E12">
        <v>121</v>
      </c>
      <c r="H12" t="s">
        <v>114</v>
      </c>
      <c r="J12" t="str">
        <f t="shared" si="0"/>
        <v>〇</v>
      </c>
      <c r="L12" t="s">
        <v>113</v>
      </c>
    </row>
    <row r="13" spans="1:12">
      <c r="A13">
        <v>1</v>
      </c>
      <c r="B13" t="s">
        <v>115</v>
      </c>
      <c r="C13">
        <v>42797.53570601852</v>
      </c>
      <c r="D13" t="s">
        <v>88</v>
      </c>
      <c r="E13">
        <v>173</v>
      </c>
      <c r="G13" t="s">
        <v>97</v>
      </c>
      <c r="H13" t="s">
        <v>116</v>
      </c>
      <c r="J13" t="str">
        <f t="shared" si="0"/>
        <v>〇</v>
      </c>
      <c r="L13" t="s">
        <v>115</v>
      </c>
    </row>
    <row r="14" spans="1:12">
      <c r="A14">
        <v>1</v>
      </c>
      <c r="B14" t="s">
        <v>117</v>
      </c>
      <c r="C14">
        <v>42797.537083333336</v>
      </c>
      <c r="D14" t="s">
        <v>88</v>
      </c>
      <c r="E14">
        <v>34</v>
      </c>
      <c r="G14" t="s">
        <v>100</v>
      </c>
      <c r="H14" t="s">
        <v>118</v>
      </c>
      <c r="J14" t="str">
        <f t="shared" si="0"/>
        <v>〇</v>
      </c>
      <c r="L14" t="s">
        <v>117</v>
      </c>
    </row>
    <row r="15" spans="1:12">
      <c r="A15">
        <v>1</v>
      </c>
      <c r="B15" t="s">
        <v>119</v>
      </c>
      <c r="C15">
        <v>42797.539722222224</v>
      </c>
      <c r="D15" t="s">
        <v>88</v>
      </c>
      <c r="E15">
        <v>112</v>
      </c>
      <c r="G15" t="s">
        <v>97</v>
      </c>
      <c r="H15" t="s">
        <v>120</v>
      </c>
      <c r="J15" t="str">
        <f t="shared" si="0"/>
        <v>〇</v>
      </c>
      <c r="L15" t="s">
        <v>119</v>
      </c>
    </row>
    <row r="16" spans="1:12">
      <c r="A16">
        <v>1</v>
      </c>
      <c r="B16" t="s">
        <v>121</v>
      </c>
      <c r="C16">
        <v>42797.541701388887</v>
      </c>
      <c r="D16" t="s">
        <v>88</v>
      </c>
      <c r="E16">
        <v>221</v>
      </c>
      <c r="G16" t="s">
        <v>100</v>
      </c>
      <c r="H16" t="s">
        <v>122</v>
      </c>
      <c r="J16" t="str">
        <f t="shared" si="0"/>
        <v>〇</v>
      </c>
      <c r="L16" t="s">
        <v>121</v>
      </c>
    </row>
    <row r="17" spans="1:12">
      <c r="A17">
        <v>1</v>
      </c>
      <c r="B17" t="s">
        <v>123</v>
      </c>
      <c r="C17">
        <v>42797.543715277781</v>
      </c>
      <c r="D17" t="s">
        <v>88</v>
      </c>
      <c r="E17">
        <v>115</v>
      </c>
      <c r="H17" t="s">
        <v>124</v>
      </c>
      <c r="J17" t="str">
        <f t="shared" si="0"/>
        <v>〇</v>
      </c>
      <c r="L17" t="s">
        <v>123</v>
      </c>
    </row>
    <row r="18" spans="1:12">
      <c r="A18">
        <v>1</v>
      </c>
      <c r="B18" t="s">
        <v>125</v>
      </c>
      <c r="C18">
        <v>42797.545937499999</v>
      </c>
      <c r="D18" t="s">
        <v>88</v>
      </c>
      <c r="E18">
        <v>308</v>
      </c>
      <c r="H18" t="s">
        <v>126</v>
      </c>
      <c r="J18" t="str">
        <f t="shared" si="0"/>
        <v>〇</v>
      </c>
      <c r="L18" t="s">
        <v>125</v>
      </c>
    </row>
    <row r="19" spans="1:12">
      <c r="A19">
        <v>1</v>
      </c>
      <c r="B19" t="s">
        <v>127</v>
      </c>
      <c r="C19">
        <v>42797.547847222224</v>
      </c>
      <c r="D19" t="s">
        <v>88</v>
      </c>
      <c r="E19">
        <v>112</v>
      </c>
      <c r="H19" t="s">
        <v>128</v>
      </c>
      <c r="J19" t="str">
        <f t="shared" si="0"/>
        <v>〇</v>
      </c>
      <c r="L19" t="s">
        <v>127</v>
      </c>
    </row>
    <row r="20" spans="1:12">
      <c r="A20">
        <v>1</v>
      </c>
      <c r="B20" t="s">
        <v>129</v>
      </c>
      <c r="C20">
        <v>42797.549571759257</v>
      </c>
      <c r="D20" t="s">
        <v>88</v>
      </c>
      <c r="E20">
        <v>286</v>
      </c>
      <c r="G20" t="s">
        <v>100</v>
      </c>
      <c r="H20" t="s">
        <v>130</v>
      </c>
      <c r="J20" t="str">
        <f t="shared" si="0"/>
        <v>〇</v>
      </c>
      <c r="L20" t="s">
        <v>129</v>
      </c>
    </row>
    <row r="21" spans="1:12">
      <c r="A21">
        <v>1</v>
      </c>
      <c r="B21" t="s">
        <v>131</v>
      </c>
      <c r="C21">
        <v>42797.550486111111</v>
      </c>
      <c r="D21" t="s">
        <v>88</v>
      </c>
      <c r="E21" t="s">
        <v>110</v>
      </c>
      <c r="J21" t="str">
        <f t="shared" si="0"/>
        <v>〇</v>
      </c>
      <c r="L21" t="s">
        <v>131</v>
      </c>
    </row>
    <row r="22" spans="1:12">
      <c r="A22">
        <v>1</v>
      </c>
      <c r="B22" t="s">
        <v>132</v>
      </c>
      <c r="C22">
        <v>42797.550902777781</v>
      </c>
      <c r="D22" t="s">
        <v>88</v>
      </c>
      <c r="E22" t="s">
        <v>110</v>
      </c>
      <c r="J22" t="str">
        <f t="shared" si="0"/>
        <v>〇</v>
      </c>
      <c r="L22" t="s">
        <v>132</v>
      </c>
    </row>
    <row r="23" spans="1:12">
      <c r="A23">
        <v>1</v>
      </c>
      <c r="B23" t="s">
        <v>133</v>
      </c>
      <c r="C23">
        <v>42797.463750000003</v>
      </c>
      <c r="D23" t="s">
        <v>134</v>
      </c>
      <c r="E23">
        <v>212</v>
      </c>
      <c r="G23" t="s">
        <v>100</v>
      </c>
      <c r="H23" t="s">
        <v>135</v>
      </c>
      <c r="J23" t="str">
        <f t="shared" si="0"/>
        <v>〇</v>
      </c>
      <c r="L23" t="s">
        <v>133</v>
      </c>
    </row>
    <row r="24" spans="1:12">
      <c r="A24">
        <v>1</v>
      </c>
      <c r="B24" t="s">
        <v>136</v>
      </c>
      <c r="C24">
        <v>42797.477361111109</v>
      </c>
      <c r="D24" t="s">
        <v>134</v>
      </c>
      <c r="E24">
        <v>53</v>
      </c>
      <c r="G24" t="s">
        <v>97</v>
      </c>
      <c r="H24" t="s">
        <v>137</v>
      </c>
      <c r="J24" t="str">
        <f t="shared" si="0"/>
        <v>〇</v>
      </c>
      <c r="L24" t="s">
        <v>136</v>
      </c>
    </row>
    <row r="25" spans="1:12">
      <c r="A25">
        <v>1</v>
      </c>
      <c r="B25" t="s">
        <v>138</v>
      </c>
      <c r="C25">
        <v>42797.481111111112</v>
      </c>
      <c r="D25" t="s">
        <v>134</v>
      </c>
      <c r="E25">
        <v>179</v>
      </c>
      <c r="G25" t="s">
        <v>100</v>
      </c>
      <c r="H25" t="s">
        <v>139</v>
      </c>
      <c r="J25" t="str">
        <f t="shared" si="0"/>
        <v>〇</v>
      </c>
      <c r="L25" t="s">
        <v>138</v>
      </c>
    </row>
    <row r="26" spans="1:12">
      <c r="A26">
        <v>1</v>
      </c>
      <c r="B26" t="s">
        <v>140</v>
      </c>
      <c r="C26">
        <v>42797.484293981484</v>
      </c>
      <c r="D26" t="s">
        <v>134</v>
      </c>
      <c r="E26" t="s">
        <v>110</v>
      </c>
      <c r="J26" t="str">
        <f t="shared" si="0"/>
        <v>〇</v>
      </c>
      <c r="L26" t="s">
        <v>140</v>
      </c>
    </row>
    <row r="27" spans="1:12">
      <c r="A27">
        <v>1</v>
      </c>
      <c r="B27" t="s">
        <v>141</v>
      </c>
      <c r="C27">
        <v>42797.485543981478</v>
      </c>
      <c r="D27" t="s">
        <v>134</v>
      </c>
      <c r="E27" t="s">
        <v>110</v>
      </c>
      <c r="J27" t="str">
        <f t="shared" si="0"/>
        <v>〇</v>
      </c>
      <c r="L27" t="s">
        <v>141</v>
      </c>
    </row>
    <row r="28" spans="1:12">
      <c r="A28">
        <v>1</v>
      </c>
      <c r="B28" t="s">
        <v>142</v>
      </c>
      <c r="C28">
        <v>42797.491319444445</v>
      </c>
      <c r="D28" t="s">
        <v>134</v>
      </c>
      <c r="E28">
        <v>207</v>
      </c>
      <c r="G28" t="s">
        <v>97</v>
      </c>
      <c r="H28" t="s">
        <v>143</v>
      </c>
      <c r="J28" t="str">
        <f t="shared" si="0"/>
        <v>〇</v>
      </c>
      <c r="L28" t="s">
        <v>142</v>
      </c>
    </row>
    <row r="29" spans="1:12">
      <c r="A29">
        <v>1</v>
      </c>
      <c r="B29" t="s">
        <v>144</v>
      </c>
      <c r="C29">
        <v>42797.494710648149</v>
      </c>
      <c r="D29" t="s">
        <v>134</v>
      </c>
      <c r="E29">
        <v>165</v>
      </c>
      <c r="G29" t="s">
        <v>100</v>
      </c>
      <c r="H29" t="s">
        <v>145</v>
      </c>
      <c r="J29" t="str">
        <f t="shared" si="0"/>
        <v>〇</v>
      </c>
      <c r="L29" t="s">
        <v>144</v>
      </c>
    </row>
    <row r="30" spans="1:12">
      <c r="A30">
        <v>1</v>
      </c>
      <c r="B30" t="s">
        <v>146</v>
      </c>
      <c r="C30">
        <v>42797.50068287037</v>
      </c>
      <c r="D30" t="s">
        <v>134</v>
      </c>
      <c r="E30">
        <v>380</v>
      </c>
      <c r="G30" t="s">
        <v>97</v>
      </c>
      <c r="H30" t="s">
        <v>147</v>
      </c>
      <c r="J30" t="str">
        <f t="shared" si="0"/>
        <v>〇</v>
      </c>
      <c r="L30" t="s">
        <v>146</v>
      </c>
    </row>
    <row r="31" spans="1:12">
      <c r="A31">
        <v>1</v>
      </c>
      <c r="B31" t="s">
        <v>148</v>
      </c>
      <c r="C31">
        <v>42797.532812500001</v>
      </c>
      <c r="D31" t="s">
        <v>134</v>
      </c>
      <c r="E31">
        <v>861</v>
      </c>
      <c r="G31" t="s">
        <v>105</v>
      </c>
      <c r="H31" t="s">
        <v>149</v>
      </c>
      <c r="J31" t="str">
        <f t="shared" si="0"/>
        <v>〇</v>
      </c>
      <c r="L31" t="s">
        <v>148</v>
      </c>
    </row>
    <row r="32" spans="1:12">
      <c r="A32">
        <v>1</v>
      </c>
      <c r="B32" t="s">
        <v>150</v>
      </c>
      <c r="C32">
        <v>42797.535196759258</v>
      </c>
      <c r="D32" t="s">
        <v>134</v>
      </c>
      <c r="E32">
        <v>915</v>
      </c>
      <c r="G32" t="s">
        <v>105</v>
      </c>
      <c r="H32" t="s">
        <v>151</v>
      </c>
      <c r="J32" t="str">
        <f t="shared" si="0"/>
        <v>〇</v>
      </c>
      <c r="L32" t="s">
        <v>150</v>
      </c>
    </row>
    <row r="33" spans="1:12">
      <c r="A33">
        <v>1</v>
      </c>
      <c r="B33" t="s">
        <v>152</v>
      </c>
      <c r="C33">
        <v>42797.539178240739</v>
      </c>
      <c r="D33" t="s">
        <v>134</v>
      </c>
      <c r="E33">
        <v>296</v>
      </c>
      <c r="G33" t="s">
        <v>105</v>
      </c>
      <c r="H33" t="s">
        <v>153</v>
      </c>
      <c r="J33" t="str">
        <f t="shared" si="0"/>
        <v>〇</v>
      </c>
      <c r="L33" t="s">
        <v>152</v>
      </c>
    </row>
    <row r="34" spans="1:12">
      <c r="A34">
        <v>1</v>
      </c>
      <c r="B34" t="s">
        <v>154</v>
      </c>
      <c r="C34">
        <v>42797.541238425925</v>
      </c>
      <c r="D34" t="s">
        <v>134</v>
      </c>
      <c r="E34">
        <v>795</v>
      </c>
      <c r="G34" t="s">
        <v>105</v>
      </c>
      <c r="H34" t="s">
        <v>155</v>
      </c>
      <c r="J34" t="str">
        <f t="shared" si="0"/>
        <v>〇</v>
      </c>
      <c r="L34" t="s">
        <v>154</v>
      </c>
    </row>
    <row r="35" spans="1:12">
      <c r="A35">
        <v>1</v>
      </c>
      <c r="B35" t="s">
        <v>156</v>
      </c>
      <c r="C35">
        <v>42797.544618055559</v>
      </c>
      <c r="D35" t="s">
        <v>134</v>
      </c>
      <c r="E35">
        <v>771</v>
      </c>
      <c r="G35" t="s">
        <v>105</v>
      </c>
      <c r="H35" t="s">
        <v>157</v>
      </c>
      <c r="J35" t="str">
        <f t="shared" si="0"/>
        <v>〇</v>
      </c>
      <c r="L35" t="s">
        <v>156</v>
      </c>
    </row>
    <row r="36" spans="1:12">
      <c r="A36">
        <v>1</v>
      </c>
      <c r="B36" t="s">
        <v>158</v>
      </c>
      <c r="C36">
        <v>42797.545856481483</v>
      </c>
      <c r="D36" t="s">
        <v>134</v>
      </c>
      <c r="E36" t="s">
        <v>110</v>
      </c>
      <c r="J36" t="str">
        <f t="shared" si="0"/>
        <v>〇</v>
      </c>
      <c r="L36" t="s">
        <v>158</v>
      </c>
    </row>
    <row r="37" spans="1:12">
      <c r="A37">
        <v>1</v>
      </c>
      <c r="B37" t="s">
        <v>159</v>
      </c>
      <c r="C37">
        <v>42797.549560185187</v>
      </c>
      <c r="D37" t="s">
        <v>134</v>
      </c>
      <c r="E37">
        <v>34</v>
      </c>
      <c r="H37" t="s">
        <v>160</v>
      </c>
      <c r="J37" t="str">
        <f t="shared" si="0"/>
        <v>〇</v>
      </c>
      <c r="L37" t="s">
        <v>159</v>
      </c>
    </row>
    <row r="38" spans="1:12">
      <c r="A38">
        <v>1</v>
      </c>
      <c r="B38" t="s">
        <v>161</v>
      </c>
      <c r="C38">
        <v>42797.46292824074</v>
      </c>
      <c r="D38" t="s">
        <v>162</v>
      </c>
      <c r="E38">
        <v>521</v>
      </c>
      <c r="H38" t="s">
        <v>163</v>
      </c>
      <c r="J38" t="str">
        <f t="shared" si="0"/>
        <v>〇</v>
      </c>
      <c r="L38" t="s">
        <v>161</v>
      </c>
    </row>
    <row r="39" spans="1:12">
      <c r="A39">
        <v>1</v>
      </c>
      <c r="B39" t="s">
        <v>164</v>
      </c>
      <c r="C39">
        <v>42797.464791666665</v>
      </c>
      <c r="D39" t="s">
        <v>162</v>
      </c>
      <c r="E39">
        <v>440</v>
      </c>
      <c r="G39" t="s">
        <v>97</v>
      </c>
      <c r="H39" t="s">
        <v>165</v>
      </c>
      <c r="J39" t="str">
        <f t="shared" si="0"/>
        <v>〇</v>
      </c>
      <c r="L39" t="s">
        <v>164</v>
      </c>
    </row>
    <row r="40" spans="1:12">
      <c r="A40">
        <v>2</v>
      </c>
      <c r="B40" t="s">
        <v>166</v>
      </c>
      <c r="C40">
        <v>42797.466874999998</v>
      </c>
      <c r="D40" t="s">
        <v>162</v>
      </c>
      <c r="E40">
        <v>885</v>
      </c>
      <c r="G40" t="s">
        <v>105</v>
      </c>
      <c r="H40" t="s">
        <v>167</v>
      </c>
      <c r="J40" t="str">
        <f t="shared" si="0"/>
        <v>〇</v>
      </c>
      <c r="L40" t="s">
        <v>166</v>
      </c>
    </row>
    <row r="41" spans="1:12">
      <c r="A41">
        <v>2</v>
      </c>
      <c r="B41" t="s">
        <v>168</v>
      </c>
      <c r="C41">
        <v>42797.47210648148</v>
      </c>
      <c r="D41" t="s">
        <v>162</v>
      </c>
      <c r="E41">
        <v>248</v>
      </c>
      <c r="H41" t="s">
        <v>169</v>
      </c>
      <c r="J41" t="str">
        <f t="shared" si="0"/>
        <v>×</v>
      </c>
    </row>
    <row r="42" spans="1:12">
      <c r="A42">
        <v>1</v>
      </c>
      <c r="B42" t="s">
        <v>170</v>
      </c>
      <c r="C42">
        <v>42797.473946759259</v>
      </c>
      <c r="D42" t="s">
        <v>162</v>
      </c>
      <c r="E42">
        <v>690</v>
      </c>
      <c r="G42" t="s">
        <v>100</v>
      </c>
      <c r="H42" t="s">
        <v>171</v>
      </c>
      <c r="J42" t="str">
        <f t="shared" si="0"/>
        <v>〇</v>
      </c>
      <c r="L42" t="s">
        <v>170</v>
      </c>
    </row>
    <row r="43" spans="1:12">
      <c r="A43">
        <v>1</v>
      </c>
      <c r="B43" t="s">
        <v>172</v>
      </c>
      <c r="C43">
        <v>42797.476168981484</v>
      </c>
      <c r="D43" t="s">
        <v>162</v>
      </c>
      <c r="E43">
        <v>596</v>
      </c>
      <c r="H43" t="s">
        <v>173</v>
      </c>
      <c r="J43" t="str">
        <f t="shared" si="0"/>
        <v>〇</v>
      </c>
      <c r="L43" t="s">
        <v>172</v>
      </c>
    </row>
    <row r="44" spans="1:12">
      <c r="A44">
        <v>1</v>
      </c>
      <c r="B44" t="s">
        <v>174</v>
      </c>
      <c r="C44">
        <v>42797.482233796298</v>
      </c>
      <c r="D44" t="s">
        <v>162</v>
      </c>
      <c r="E44">
        <v>569</v>
      </c>
      <c r="G44" t="s">
        <v>97</v>
      </c>
      <c r="H44" t="s">
        <v>175</v>
      </c>
      <c r="J44" t="str">
        <f t="shared" si="0"/>
        <v>〇</v>
      </c>
      <c r="L44" t="s">
        <v>174</v>
      </c>
    </row>
    <row r="45" spans="1:12">
      <c r="A45">
        <v>1</v>
      </c>
      <c r="B45" t="s">
        <v>176</v>
      </c>
      <c r="C45">
        <v>42797.484236111108</v>
      </c>
      <c r="D45" t="s">
        <v>162</v>
      </c>
      <c r="E45">
        <v>675</v>
      </c>
      <c r="G45" t="s">
        <v>105</v>
      </c>
      <c r="H45" t="s">
        <v>177</v>
      </c>
      <c r="J45" t="str">
        <f t="shared" si="0"/>
        <v>〇</v>
      </c>
      <c r="L45" t="s">
        <v>176</v>
      </c>
    </row>
    <row r="46" spans="1:12">
      <c r="A46">
        <v>2</v>
      </c>
      <c r="B46" t="s">
        <v>178</v>
      </c>
      <c r="C46">
        <v>42797.490381944444</v>
      </c>
      <c r="D46" t="s">
        <v>162</v>
      </c>
      <c r="E46">
        <v>270</v>
      </c>
      <c r="G46" t="s">
        <v>100</v>
      </c>
      <c r="H46" t="s">
        <v>179</v>
      </c>
      <c r="J46" t="str">
        <f t="shared" si="0"/>
        <v>〇</v>
      </c>
      <c r="L46" t="s">
        <v>178</v>
      </c>
    </row>
    <row r="47" spans="1:12">
      <c r="A47">
        <v>2</v>
      </c>
      <c r="B47" t="s">
        <v>180</v>
      </c>
      <c r="C47">
        <v>42797.494247685187</v>
      </c>
      <c r="D47" t="s">
        <v>162</v>
      </c>
      <c r="E47" t="s">
        <v>110</v>
      </c>
      <c r="J47" t="str">
        <f t="shared" si="0"/>
        <v>×</v>
      </c>
    </row>
    <row r="48" spans="1:12">
      <c r="A48">
        <v>1</v>
      </c>
      <c r="B48" t="s">
        <v>181</v>
      </c>
      <c r="C48">
        <v>42797.495104166665</v>
      </c>
      <c r="D48" t="s">
        <v>162</v>
      </c>
      <c r="E48" t="s">
        <v>110</v>
      </c>
      <c r="J48" t="str">
        <f t="shared" si="0"/>
        <v>〇</v>
      </c>
      <c r="L48" t="s">
        <v>181</v>
      </c>
    </row>
    <row r="49" spans="1:12">
      <c r="A49">
        <v>1</v>
      </c>
      <c r="B49" t="s">
        <v>182</v>
      </c>
      <c r="C49">
        <v>42797.496840277781</v>
      </c>
      <c r="D49" t="s">
        <v>162</v>
      </c>
      <c r="E49" t="s">
        <v>110</v>
      </c>
      <c r="J49" t="str">
        <f t="shared" si="0"/>
        <v>〇</v>
      </c>
      <c r="L49" t="s">
        <v>182</v>
      </c>
    </row>
    <row r="50" spans="1:12">
      <c r="A50">
        <v>1</v>
      </c>
      <c r="B50" t="s">
        <v>183</v>
      </c>
      <c r="C50">
        <v>42797.498749999999</v>
      </c>
      <c r="D50" t="s">
        <v>162</v>
      </c>
      <c r="E50">
        <v>646</v>
      </c>
      <c r="G50" t="s">
        <v>97</v>
      </c>
      <c r="H50" t="s">
        <v>184</v>
      </c>
      <c r="J50" t="str">
        <f t="shared" si="0"/>
        <v>〇</v>
      </c>
      <c r="L50" t="s">
        <v>183</v>
      </c>
    </row>
    <row r="51" spans="1:12">
      <c r="A51">
        <v>1</v>
      </c>
      <c r="B51" t="s">
        <v>185</v>
      </c>
      <c r="C51">
        <v>42797.504328703704</v>
      </c>
      <c r="D51" t="s">
        <v>162</v>
      </c>
      <c r="E51">
        <v>540</v>
      </c>
      <c r="G51" t="s">
        <v>100</v>
      </c>
      <c r="H51" t="s">
        <v>186</v>
      </c>
      <c r="J51" t="str">
        <f t="shared" si="0"/>
        <v>〇</v>
      </c>
      <c r="L51" t="s">
        <v>185</v>
      </c>
    </row>
    <row r="52" spans="1:12">
      <c r="A52">
        <v>1</v>
      </c>
      <c r="B52" t="s">
        <v>187</v>
      </c>
      <c r="C52">
        <v>42797.531400462962</v>
      </c>
      <c r="D52" t="s">
        <v>162</v>
      </c>
      <c r="E52">
        <v>137</v>
      </c>
      <c r="H52" t="s">
        <v>188</v>
      </c>
      <c r="J52" t="str">
        <f t="shared" si="0"/>
        <v>〇</v>
      </c>
      <c r="L52" t="s">
        <v>187</v>
      </c>
    </row>
    <row r="53" spans="1:12">
      <c r="A53">
        <v>1</v>
      </c>
      <c r="B53" t="s">
        <v>189</v>
      </c>
      <c r="C53">
        <v>42797.53365740741</v>
      </c>
      <c r="D53" t="s">
        <v>162</v>
      </c>
      <c r="E53">
        <v>384</v>
      </c>
      <c r="G53" t="s">
        <v>100</v>
      </c>
      <c r="H53" t="s">
        <v>190</v>
      </c>
      <c r="J53" t="str">
        <f t="shared" si="0"/>
        <v>〇</v>
      </c>
      <c r="L53" t="s">
        <v>189</v>
      </c>
    </row>
    <row r="54" spans="1:12">
      <c r="A54">
        <v>1</v>
      </c>
      <c r="B54" t="s">
        <v>191</v>
      </c>
      <c r="C54">
        <v>42797.53565972222</v>
      </c>
      <c r="D54" t="s">
        <v>162</v>
      </c>
      <c r="E54">
        <v>497</v>
      </c>
      <c r="H54" t="s">
        <v>192</v>
      </c>
      <c r="J54" t="str">
        <f t="shared" si="0"/>
        <v>〇</v>
      </c>
      <c r="L54" t="s">
        <v>191</v>
      </c>
    </row>
    <row r="55" spans="1:12">
      <c r="A55">
        <v>1</v>
      </c>
      <c r="B55" t="s">
        <v>193</v>
      </c>
      <c r="C55">
        <v>42797.462083333332</v>
      </c>
      <c r="D55" t="s">
        <v>194</v>
      </c>
      <c r="E55">
        <v>186</v>
      </c>
      <c r="H55" t="s">
        <v>195</v>
      </c>
      <c r="J55" t="str">
        <f t="shared" si="0"/>
        <v>〇</v>
      </c>
      <c r="L55" t="s">
        <v>193</v>
      </c>
    </row>
    <row r="56" spans="1:12">
      <c r="A56">
        <v>1</v>
      </c>
      <c r="B56" t="s">
        <v>196</v>
      </c>
      <c r="C56">
        <v>42797.46533564815</v>
      </c>
      <c r="D56" t="s">
        <v>194</v>
      </c>
      <c r="E56">
        <v>133</v>
      </c>
      <c r="H56" t="s">
        <v>197</v>
      </c>
      <c r="J56" t="str">
        <f t="shared" si="0"/>
        <v>〇</v>
      </c>
      <c r="L56" t="s">
        <v>196</v>
      </c>
    </row>
    <row r="57" spans="1:12">
      <c r="A57">
        <v>1</v>
      </c>
      <c r="B57" t="s">
        <v>198</v>
      </c>
      <c r="C57">
        <v>42797.467581018522</v>
      </c>
      <c r="D57" t="s">
        <v>194</v>
      </c>
      <c r="E57">
        <v>59</v>
      </c>
      <c r="H57" t="s">
        <v>199</v>
      </c>
      <c r="J57" t="str">
        <f t="shared" si="0"/>
        <v>〇</v>
      </c>
      <c r="L57" t="s">
        <v>198</v>
      </c>
    </row>
    <row r="58" spans="1:12">
      <c r="A58">
        <v>1</v>
      </c>
      <c r="B58" t="s">
        <v>200</v>
      </c>
      <c r="C58">
        <v>42797.470555555556</v>
      </c>
      <c r="D58" t="s">
        <v>194</v>
      </c>
      <c r="E58">
        <v>151</v>
      </c>
      <c r="G58" t="s">
        <v>97</v>
      </c>
      <c r="H58" t="s">
        <v>201</v>
      </c>
      <c r="J58" t="str">
        <f t="shared" si="0"/>
        <v>〇</v>
      </c>
      <c r="L58" t="s">
        <v>200</v>
      </c>
    </row>
    <row r="59" spans="1:12">
      <c r="A59">
        <v>1</v>
      </c>
      <c r="B59" t="s">
        <v>202</v>
      </c>
      <c r="C59">
        <v>42797.476168981484</v>
      </c>
      <c r="D59" t="s">
        <v>194</v>
      </c>
      <c r="E59">
        <v>328</v>
      </c>
      <c r="G59" t="s">
        <v>100</v>
      </c>
      <c r="H59" t="s">
        <v>203</v>
      </c>
      <c r="J59" t="str">
        <f t="shared" si="0"/>
        <v>〇</v>
      </c>
      <c r="L59" t="s">
        <v>202</v>
      </c>
    </row>
    <row r="60" spans="1:12">
      <c r="A60">
        <v>2</v>
      </c>
      <c r="B60" t="s">
        <v>204</v>
      </c>
      <c r="C60">
        <v>42797.479050925926</v>
      </c>
      <c r="D60" t="s">
        <v>194</v>
      </c>
      <c r="E60">
        <v>413</v>
      </c>
      <c r="G60" t="s">
        <v>97</v>
      </c>
      <c r="H60" t="s">
        <v>205</v>
      </c>
      <c r="J60" t="str">
        <f t="shared" si="0"/>
        <v>〇</v>
      </c>
      <c r="L60" t="s">
        <v>204</v>
      </c>
    </row>
    <row r="61" spans="1:12">
      <c r="A61">
        <v>2</v>
      </c>
      <c r="B61" t="s">
        <v>206</v>
      </c>
      <c r="C61">
        <v>42797.482314814813</v>
      </c>
      <c r="D61" t="s">
        <v>194</v>
      </c>
      <c r="E61">
        <v>33</v>
      </c>
      <c r="G61" t="s">
        <v>105</v>
      </c>
      <c r="H61" t="s">
        <v>207</v>
      </c>
      <c r="J61" t="str">
        <f t="shared" si="0"/>
        <v>×</v>
      </c>
    </row>
    <row r="62" spans="1:12">
      <c r="A62">
        <v>3</v>
      </c>
      <c r="B62" t="s">
        <v>208</v>
      </c>
      <c r="C62">
        <v>42797.488518518519</v>
      </c>
      <c r="D62" t="s">
        <v>194</v>
      </c>
      <c r="E62">
        <v>359</v>
      </c>
      <c r="G62" t="s">
        <v>100</v>
      </c>
      <c r="H62" t="s">
        <v>209</v>
      </c>
      <c r="J62" t="str">
        <f t="shared" si="0"/>
        <v>〇</v>
      </c>
      <c r="L62" t="s">
        <v>208</v>
      </c>
    </row>
    <row r="63" spans="1:12">
      <c r="A63">
        <v>1</v>
      </c>
      <c r="B63" t="s">
        <v>210</v>
      </c>
      <c r="C63">
        <v>42797.492847222224</v>
      </c>
      <c r="D63" t="s">
        <v>194</v>
      </c>
      <c r="E63">
        <v>442</v>
      </c>
      <c r="G63" t="s">
        <v>97</v>
      </c>
      <c r="H63" t="s">
        <v>211</v>
      </c>
      <c r="J63" t="str">
        <f t="shared" si="0"/>
        <v>〇</v>
      </c>
      <c r="L63" t="s">
        <v>210</v>
      </c>
    </row>
    <row r="64" spans="1:12">
      <c r="A64">
        <v>1</v>
      </c>
      <c r="B64" t="s">
        <v>212</v>
      </c>
      <c r="C64">
        <v>42797.498391203706</v>
      </c>
      <c r="D64" t="s">
        <v>194</v>
      </c>
      <c r="E64">
        <v>259</v>
      </c>
      <c r="H64" t="s">
        <v>213</v>
      </c>
      <c r="J64" t="str">
        <f t="shared" si="0"/>
        <v>〇</v>
      </c>
      <c r="L64" t="s">
        <v>212</v>
      </c>
    </row>
    <row r="65" spans="1:12">
      <c r="A65">
        <v>1</v>
      </c>
      <c r="B65" t="s">
        <v>214</v>
      </c>
      <c r="C65">
        <v>42797.530671296299</v>
      </c>
      <c r="D65" t="s">
        <v>194</v>
      </c>
      <c r="E65">
        <v>209</v>
      </c>
      <c r="G65" t="s">
        <v>97</v>
      </c>
      <c r="H65" t="s">
        <v>215</v>
      </c>
      <c r="J65" t="str">
        <f t="shared" ref="J65:J128" si="1">IF(B65=L65,"〇","×")</f>
        <v>〇</v>
      </c>
      <c r="L65" t="s">
        <v>214</v>
      </c>
    </row>
    <row r="66" spans="1:12">
      <c r="A66">
        <v>2</v>
      </c>
      <c r="B66" t="s">
        <v>216</v>
      </c>
      <c r="C66">
        <v>42797.53634259259</v>
      </c>
      <c r="D66" t="s">
        <v>194</v>
      </c>
      <c r="E66">
        <v>355</v>
      </c>
      <c r="G66" t="s">
        <v>100</v>
      </c>
      <c r="H66" t="s">
        <v>217</v>
      </c>
      <c r="J66" t="str">
        <f t="shared" si="1"/>
        <v>〇</v>
      </c>
      <c r="L66" t="s">
        <v>216</v>
      </c>
    </row>
    <row r="67" spans="1:12">
      <c r="A67">
        <v>2</v>
      </c>
      <c r="B67" t="s">
        <v>218</v>
      </c>
      <c r="C67">
        <v>42797.538657407407</v>
      </c>
      <c r="D67" t="s">
        <v>194</v>
      </c>
      <c r="E67">
        <v>104</v>
      </c>
      <c r="H67" t="s">
        <v>219</v>
      </c>
      <c r="J67" t="str">
        <f t="shared" si="1"/>
        <v>×</v>
      </c>
    </row>
    <row r="68" spans="1:12">
      <c r="A68">
        <v>1</v>
      </c>
      <c r="B68" t="s">
        <v>220</v>
      </c>
      <c r="C68">
        <v>42797.541203703702</v>
      </c>
      <c r="D68" t="s">
        <v>194</v>
      </c>
      <c r="E68">
        <v>86</v>
      </c>
      <c r="G68" t="s">
        <v>97</v>
      </c>
      <c r="H68" t="s">
        <v>221</v>
      </c>
      <c r="J68" t="str">
        <f t="shared" si="1"/>
        <v>〇</v>
      </c>
      <c r="L68" t="s">
        <v>220</v>
      </c>
    </row>
    <row r="69" spans="1:12">
      <c r="A69">
        <v>1</v>
      </c>
      <c r="B69" t="s">
        <v>222</v>
      </c>
      <c r="C69">
        <v>42797.543946759259</v>
      </c>
      <c r="D69" t="s">
        <v>194</v>
      </c>
      <c r="E69">
        <v>413</v>
      </c>
      <c r="G69" t="s">
        <v>100</v>
      </c>
      <c r="H69" t="s">
        <v>223</v>
      </c>
      <c r="J69" t="str">
        <f t="shared" si="1"/>
        <v>〇</v>
      </c>
      <c r="L69" t="s">
        <v>222</v>
      </c>
    </row>
    <row r="70" spans="1:12">
      <c r="A70">
        <v>1</v>
      </c>
      <c r="B70" t="s">
        <v>224</v>
      </c>
      <c r="C70">
        <v>42797.546666666669</v>
      </c>
      <c r="D70" t="s">
        <v>194</v>
      </c>
      <c r="E70">
        <v>432</v>
      </c>
      <c r="G70" t="s">
        <v>100</v>
      </c>
      <c r="H70" t="s">
        <v>225</v>
      </c>
      <c r="J70" t="str">
        <f t="shared" si="1"/>
        <v>〇</v>
      </c>
      <c r="L70" t="s">
        <v>224</v>
      </c>
    </row>
    <row r="71" spans="1:12">
      <c r="A71">
        <v>1</v>
      </c>
      <c r="B71" t="s">
        <v>226</v>
      </c>
      <c r="C71">
        <v>42797.549895833334</v>
      </c>
      <c r="D71" t="s">
        <v>194</v>
      </c>
      <c r="E71">
        <v>790</v>
      </c>
      <c r="G71" t="s">
        <v>105</v>
      </c>
      <c r="H71" t="s">
        <v>227</v>
      </c>
      <c r="J71" t="str">
        <f t="shared" si="1"/>
        <v>〇</v>
      </c>
      <c r="L71" t="s">
        <v>226</v>
      </c>
    </row>
    <row r="72" spans="1:12">
      <c r="A72">
        <v>1</v>
      </c>
      <c r="B72" t="s">
        <v>228</v>
      </c>
      <c r="C72">
        <v>42797.482604166667</v>
      </c>
      <c r="D72" t="s">
        <v>229</v>
      </c>
      <c r="E72">
        <v>915</v>
      </c>
      <c r="G72" t="s">
        <v>105</v>
      </c>
      <c r="H72" t="s">
        <v>230</v>
      </c>
      <c r="J72" t="str">
        <f t="shared" si="1"/>
        <v>〇</v>
      </c>
      <c r="L72" t="s">
        <v>228</v>
      </c>
    </row>
    <row r="73" spans="1:12">
      <c r="A73">
        <v>1</v>
      </c>
      <c r="B73" t="s">
        <v>231</v>
      </c>
      <c r="C73">
        <v>42797.468275462961</v>
      </c>
      <c r="D73" t="s">
        <v>229</v>
      </c>
      <c r="E73">
        <v>456</v>
      </c>
      <c r="G73" t="s">
        <v>100</v>
      </c>
      <c r="H73" t="s">
        <v>232</v>
      </c>
      <c r="J73" t="str">
        <f t="shared" si="1"/>
        <v>〇</v>
      </c>
      <c r="L73" t="s">
        <v>231</v>
      </c>
    </row>
    <row r="74" spans="1:12">
      <c r="A74">
        <v>1</v>
      </c>
      <c r="B74" t="s">
        <v>233</v>
      </c>
      <c r="C74">
        <v>42797.486944444441</v>
      </c>
      <c r="D74" t="s">
        <v>229</v>
      </c>
      <c r="E74">
        <v>54</v>
      </c>
      <c r="H74" t="s">
        <v>234</v>
      </c>
      <c r="J74" t="str">
        <f t="shared" si="1"/>
        <v>〇</v>
      </c>
      <c r="L74" t="s">
        <v>233</v>
      </c>
    </row>
    <row r="75" spans="1:12">
      <c r="A75">
        <v>1</v>
      </c>
      <c r="B75" t="s">
        <v>235</v>
      </c>
      <c r="C75">
        <v>42797.491724537038</v>
      </c>
      <c r="D75" t="s">
        <v>229</v>
      </c>
      <c r="E75">
        <v>37</v>
      </c>
      <c r="H75" t="s">
        <v>236</v>
      </c>
      <c r="J75" t="str">
        <f t="shared" si="1"/>
        <v>〇</v>
      </c>
      <c r="L75" t="s">
        <v>235</v>
      </c>
    </row>
    <row r="76" spans="1:12">
      <c r="A76">
        <v>1</v>
      </c>
      <c r="B76" t="s">
        <v>237</v>
      </c>
      <c r="C76">
        <v>42797.497013888889</v>
      </c>
      <c r="D76" t="s">
        <v>229</v>
      </c>
      <c r="E76">
        <v>243</v>
      </c>
      <c r="H76" t="s">
        <v>238</v>
      </c>
      <c r="J76" t="str">
        <f t="shared" si="1"/>
        <v>×</v>
      </c>
    </row>
    <row r="77" spans="1:12">
      <c r="A77">
        <v>2</v>
      </c>
      <c r="B77" t="s">
        <v>239</v>
      </c>
      <c r="C77">
        <v>42797.536319444444</v>
      </c>
      <c r="D77" t="s">
        <v>229</v>
      </c>
      <c r="E77">
        <v>417</v>
      </c>
      <c r="H77" t="s">
        <v>240</v>
      </c>
      <c r="J77" t="str">
        <f t="shared" si="1"/>
        <v>〇</v>
      </c>
      <c r="L77" t="s">
        <v>239</v>
      </c>
    </row>
    <row r="78" spans="1:12">
      <c r="A78">
        <v>2</v>
      </c>
      <c r="B78" t="s">
        <v>241</v>
      </c>
      <c r="C78">
        <v>42797.538217592592</v>
      </c>
      <c r="D78" t="s">
        <v>229</v>
      </c>
      <c r="E78">
        <v>117</v>
      </c>
      <c r="G78" t="s">
        <v>97</v>
      </c>
      <c r="H78" t="s">
        <v>242</v>
      </c>
      <c r="J78" t="str">
        <f t="shared" si="1"/>
        <v>×</v>
      </c>
    </row>
    <row r="79" spans="1:12">
      <c r="A79">
        <v>1</v>
      </c>
      <c r="B79" t="s">
        <v>243</v>
      </c>
      <c r="C79">
        <v>42797.541493055556</v>
      </c>
      <c r="D79" t="s">
        <v>229</v>
      </c>
      <c r="E79">
        <v>138</v>
      </c>
      <c r="G79" t="s">
        <v>97</v>
      </c>
      <c r="H79" t="s">
        <v>244</v>
      </c>
      <c r="J79" t="str">
        <f t="shared" si="1"/>
        <v>〇</v>
      </c>
      <c r="L79" t="s">
        <v>243</v>
      </c>
    </row>
    <row r="80" spans="1:12">
      <c r="A80">
        <v>1</v>
      </c>
      <c r="B80" t="s">
        <v>245</v>
      </c>
      <c r="C80">
        <v>42797.558194444442</v>
      </c>
      <c r="D80" t="s">
        <v>229</v>
      </c>
      <c r="E80">
        <v>381</v>
      </c>
      <c r="G80" t="s">
        <v>100</v>
      </c>
      <c r="H80" t="s">
        <v>246</v>
      </c>
      <c r="J80" t="str">
        <f t="shared" si="1"/>
        <v>〇</v>
      </c>
      <c r="L80" t="s">
        <v>245</v>
      </c>
    </row>
    <row r="81" spans="1:12">
      <c r="A81">
        <v>1</v>
      </c>
      <c r="B81" t="s">
        <v>247</v>
      </c>
      <c r="C81">
        <v>42797.570347222223</v>
      </c>
      <c r="D81" t="s">
        <v>229</v>
      </c>
      <c r="E81">
        <v>225</v>
      </c>
      <c r="H81" t="s">
        <v>248</v>
      </c>
      <c r="J81" t="str">
        <f t="shared" si="1"/>
        <v>〇</v>
      </c>
      <c r="L81" t="s">
        <v>247</v>
      </c>
    </row>
    <row r="82" spans="1:12">
      <c r="A82">
        <v>1</v>
      </c>
      <c r="B82" t="s">
        <v>249</v>
      </c>
      <c r="C82">
        <v>42797.573622685188</v>
      </c>
      <c r="D82" t="s">
        <v>229</v>
      </c>
      <c r="E82">
        <v>34</v>
      </c>
      <c r="G82" t="s">
        <v>97</v>
      </c>
      <c r="H82" t="s">
        <v>250</v>
      </c>
      <c r="J82" t="str">
        <f t="shared" si="1"/>
        <v>〇</v>
      </c>
      <c r="L82" t="s">
        <v>249</v>
      </c>
    </row>
    <row r="83" spans="1:12">
      <c r="A83">
        <v>1</v>
      </c>
      <c r="B83" t="s">
        <v>251</v>
      </c>
      <c r="C83">
        <v>42797.576238425929</v>
      </c>
      <c r="D83" t="s">
        <v>229</v>
      </c>
      <c r="E83">
        <v>206</v>
      </c>
      <c r="H83" t="s">
        <v>252</v>
      </c>
      <c r="J83" t="str">
        <f t="shared" si="1"/>
        <v>〇</v>
      </c>
      <c r="L83" t="s">
        <v>251</v>
      </c>
    </row>
    <row r="84" spans="1:12">
      <c r="A84">
        <v>1</v>
      </c>
      <c r="B84" t="s">
        <v>253</v>
      </c>
      <c r="C84">
        <v>42797.579907407409</v>
      </c>
      <c r="D84" t="s">
        <v>229</v>
      </c>
      <c r="E84">
        <v>693</v>
      </c>
      <c r="H84" t="s">
        <v>254</v>
      </c>
      <c r="J84" t="str">
        <f t="shared" si="1"/>
        <v>〇</v>
      </c>
      <c r="L84" t="s">
        <v>253</v>
      </c>
    </row>
    <row r="85" spans="1:12">
      <c r="A85">
        <v>1</v>
      </c>
      <c r="B85" t="s">
        <v>255</v>
      </c>
      <c r="C85">
        <v>42797.58320601852</v>
      </c>
      <c r="D85" t="s">
        <v>229</v>
      </c>
      <c r="E85">
        <v>98</v>
      </c>
      <c r="H85" t="s">
        <v>256</v>
      </c>
      <c r="J85" t="str">
        <f t="shared" si="1"/>
        <v>〇</v>
      </c>
      <c r="L85" t="s">
        <v>255</v>
      </c>
    </row>
    <row r="86" spans="1:12">
      <c r="A86">
        <v>1</v>
      </c>
      <c r="B86" t="s">
        <v>257</v>
      </c>
      <c r="C86">
        <v>42797.584953703707</v>
      </c>
      <c r="D86" t="s">
        <v>229</v>
      </c>
      <c r="E86">
        <v>96</v>
      </c>
      <c r="H86" t="s">
        <v>258</v>
      </c>
      <c r="J86" t="str">
        <f t="shared" si="1"/>
        <v>〇</v>
      </c>
      <c r="L86" t="s">
        <v>257</v>
      </c>
    </row>
    <row r="87" spans="1:12">
      <c r="A87">
        <v>2</v>
      </c>
      <c r="B87" t="s">
        <v>259</v>
      </c>
      <c r="C87">
        <v>42797.587754629632</v>
      </c>
      <c r="D87" t="s">
        <v>229</v>
      </c>
      <c r="E87">
        <v>390</v>
      </c>
      <c r="G87" t="s">
        <v>97</v>
      </c>
      <c r="H87" t="s">
        <v>260</v>
      </c>
      <c r="J87" t="str">
        <f t="shared" si="1"/>
        <v>〇</v>
      </c>
      <c r="L87" t="s">
        <v>259</v>
      </c>
    </row>
    <row r="88" spans="1:12">
      <c r="A88">
        <v>1</v>
      </c>
      <c r="B88" t="s">
        <v>261</v>
      </c>
      <c r="C88">
        <v>42797.591527777775</v>
      </c>
      <c r="D88" t="s">
        <v>229</v>
      </c>
      <c r="E88">
        <v>31</v>
      </c>
      <c r="G88" t="s">
        <v>100</v>
      </c>
      <c r="H88" t="s">
        <v>262</v>
      </c>
      <c r="J88" t="str">
        <f t="shared" si="1"/>
        <v>〇</v>
      </c>
      <c r="L88" t="s">
        <v>261</v>
      </c>
    </row>
    <row r="89" spans="1:12">
      <c r="A89">
        <v>1</v>
      </c>
      <c r="B89" t="s">
        <v>263</v>
      </c>
      <c r="C89">
        <v>42797.595960648148</v>
      </c>
      <c r="D89" t="s">
        <v>229</v>
      </c>
      <c r="E89">
        <v>299</v>
      </c>
      <c r="H89" t="s">
        <v>264</v>
      </c>
      <c r="J89" t="str">
        <f t="shared" si="1"/>
        <v>〇</v>
      </c>
      <c r="L89" t="s">
        <v>263</v>
      </c>
    </row>
    <row r="90" spans="1:12">
      <c r="A90">
        <v>1</v>
      </c>
      <c r="B90" t="s">
        <v>265</v>
      </c>
      <c r="C90">
        <v>42797.599745370368</v>
      </c>
      <c r="D90" t="s">
        <v>229</v>
      </c>
      <c r="E90">
        <v>180</v>
      </c>
      <c r="G90" t="s">
        <v>97</v>
      </c>
      <c r="H90" t="s">
        <v>266</v>
      </c>
      <c r="J90" t="str">
        <f t="shared" si="1"/>
        <v>×</v>
      </c>
    </row>
    <row r="91" spans="1:12">
      <c r="A91">
        <v>2</v>
      </c>
      <c r="B91" t="s">
        <v>267</v>
      </c>
      <c r="C91">
        <v>42797.555995370371</v>
      </c>
      <c r="D91" t="s">
        <v>88</v>
      </c>
      <c r="E91">
        <v>121</v>
      </c>
      <c r="G91" t="s">
        <v>100</v>
      </c>
      <c r="H91" t="s">
        <v>268</v>
      </c>
      <c r="J91" t="str">
        <f t="shared" si="1"/>
        <v>〇</v>
      </c>
      <c r="L91" t="s">
        <v>267</v>
      </c>
    </row>
    <row r="92" spans="1:12">
      <c r="A92">
        <v>2</v>
      </c>
      <c r="B92" t="s">
        <v>269</v>
      </c>
      <c r="C92">
        <v>42797.557719907411</v>
      </c>
      <c r="D92" t="s">
        <v>88</v>
      </c>
      <c r="E92">
        <v>117</v>
      </c>
      <c r="G92" t="s">
        <v>97</v>
      </c>
      <c r="H92" t="s">
        <v>270</v>
      </c>
      <c r="J92" t="str">
        <f t="shared" si="1"/>
        <v>×</v>
      </c>
    </row>
    <row r="93" spans="1:12">
      <c r="A93">
        <v>2</v>
      </c>
      <c r="B93" t="s">
        <v>271</v>
      </c>
      <c r="C93">
        <v>42797.563240740739</v>
      </c>
      <c r="D93" t="s">
        <v>88</v>
      </c>
      <c r="E93">
        <v>832</v>
      </c>
      <c r="G93" t="s">
        <v>100</v>
      </c>
      <c r="H93" t="s">
        <v>272</v>
      </c>
      <c r="J93" t="str">
        <f t="shared" si="1"/>
        <v>〇</v>
      </c>
      <c r="L93" t="s">
        <v>271</v>
      </c>
    </row>
    <row r="94" spans="1:12">
      <c r="A94">
        <v>2</v>
      </c>
      <c r="B94" t="s">
        <v>273</v>
      </c>
      <c r="C94">
        <v>42797.56627314815</v>
      </c>
      <c r="D94" t="s">
        <v>88</v>
      </c>
      <c r="E94">
        <v>705</v>
      </c>
      <c r="G94" t="s">
        <v>97</v>
      </c>
      <c r="H94" t="s">
        <v>274</v>
      </c>
      <c r="J94" t="str">
        <f t="shared" si="1"/>
        <v>〇</v>
      </c>
      <c r="L94" t="s">
        <v>273</v>
      </c>
    </row>
    <row r="95" spans="1:12">
      <c r="A95">
        <v>2</v>
      </c>
      <c r="B95" t="s">
        <v>275</v>
      </c>
      <c r="C95">
        <v>42797.568101851852</v>
      </c>
      <c r="D95" t="s">
        <v>88</v>
      </c>
      <c r="E95">
        <v>33</v>
      </c>
      <c r="G95" t="s">
        <v>100</v>
      </c>
      <c r="H95" t="s">
        <v>276</v>
      </c>
      <c r="J95" t="str">
        <f t="shared" si="1"/>
        <v>〇</v>
      </c>
      <c r="L95" t="s">
        <v>275</v>
      </c>
    </row>
    <row r="96" spans="1:12">
      <c r="A96">
        <v>2</v>
      </c>
      <c r="B96" t="s">
        <v>277</v>
      </c>
      <c r="C96">
        <v>42797.570243055554</v>
      </c>
      <c r="D96" t="s">
        <v>88</v>
      </c>
      <c r="E96">
        <v>259</v>
      </c>
      <c r="H96" t="s">
        <v>278</v>
      </c>
      <c r="J96" t="str">
        <f t="shared" si="1"/>
        <v>×</v>
      </c>
    </row>
    <row r="97" spans="1:12">
      <c r="A97">
        <v>1</v>
      </c>
      <c r="B97" t="s">
        <v>279</v>
      </c>
      <c r="C97">
        <v>42797.573738425926</v>
      </c>
      <c r="D97" t="s">
        <v>88</v>
      </c>
      <c r="E97" t="s">
        <v>110</v>
      </c>
      <c r="J97" t="str">
        <f t="shared" si="1"/>
        <v>〇</v>
      </c>
      <c r="L97" t="s">
        <v>279</v>
      </c>
    </row>
    <row r="98" spans="1:12">
      <c r="A98">
        <v>2</v>
      </c>
      <c r="B98" t="s">
        <v>280</v>
      </c>
      <c r="C98">
        <v>42797.57640046296</v>
      </c>
      <c r="D98" t="s">
        <v>88</v>
      </c>
      <c r="E98">
        <v>66</v>
      </c>
      <c r="H98" t="s">
        <v>281</v>
      </c>
      <c r="J98" t="str">
        <f t="shared" si="1"/>
        <v>〇</v>
      </c>
      <c r="L98" t="s">
        <v>280</v>
      </c>
    </row>
    <row r="99" spans="1:12">
      <c r="A99">
        <v>2</v>
      </c>
      <c r="B99" t="s">
        <v>282</v>
      </c>
      <c r="C99">
        <v>42797.578182870369</v>
      </c>
      <c r="D99" t="s">
        <v>88</v>
      </c>
      <c r="E99">
        <v>109</v>
      </c>
      <c r="H99" t="s">
        <v>283</v>
      </c>
      <c r="J99" t="str">
        <f t="shared" si="1"/>
        <v>×</v>
      </c>
    </row>
    <row r="100" spans="1:12">
      <c r="A100">
        <v>1</v>
      </c>
      <c r="B100" t="s">
        <v>284</v>
      </c>
      <c r="C100">
        <v>42797.580347222225</v>
      </c>
      <c r="D100" t="s">
        <v>88</v>
      </c>
      <c r="E100">
        <v>97</v>
      </c>
      <c r="H100" t="s">
        <v>285</v>
      </c>
      <c r="J100" t="str">
        <f t="shared" si="1"/>
        <v>〇</v>
      </c>
      <c r="L100" t="s">
        <v>284</v>
      </c>
    </row>
    <row r="101" spans="1:12">
      <c r="A101">
        <v>2</v>
      </c>
      <c r="B101" t="s">
        <v>286</v>
      </c>
      <c r="C101">
        <v>42797.582337962966</v>
      </c>
      <c r="D101" t="s">
        <v>88</v>
      </c>
      <c r="E101">
        <v>675</v>
      </c>
      <c r="G101" t="s">
        <v>105</v>
      </c>
      <c r="H101" t="s">
        <v>287</v>
      </c>
      <c r="J101" t="str">
        <f t="shared" si="1"/>
        <v>〇</v>
      </c>
      <c r="L101" t="s">
        <v>286</v>
      </c>
    </row>
    <row r="102" spans="1:12">
      <c r="A102">
        <v>3</v>
      </c>
      <c r="B102" t="s">
        <v>288</v>
      </c>
      <c r="C102">
        <v>42797.583981481483</v>
      </c>
      <c r="D102" t="s">
        <v>88</v>
      </c>
      <c r="E102">
        <v>525</v>
      </c>
      <c r="G102" t="s">
        <v>105</v>
      </c>
      <c r="H102" t="s">
        <v>289</v>
      </c>
      <c r="J102" t="str">
        <f t="shared" si="1"/>
        <v>〇</v>
      </c>
      <c r="L102" t="s">
        <v>288</v>
      </c>
    </row>
    <row r="103" spans="1:12">
      <c r="A103">
        <v>2</v>
      </c>
      <c r="B103" t="s">
        <v>290</v>
      </c>
      <c r="C103">
        <v>42797.585659722223</v>
      </c>
      <c r="D103" t="s">
        <v>88</v>
      </c>
      <c r="E103">
        <v>600</v>
      </c>
      <c r="G103" t="s">
        <v>105</v>
      </c>
      <c r="H103" t="s">
        <v>291</v>
      </c>
      <c r="J103" t="str">
        <f t="shared" si="1"/>
        <v>〇</v>
      </c>
      <c r="L103" t="s">
        <v>290</v>
      </c>
    </row>
    <row r="104" spans="1:12">
      <c r="A104">
        <v>2</v>
      </c>
      <c r="B104" t="s">
        <v>292</v>
      </c>
      <c r="C104">
        <v>42797.587523148148</v>
      </c>
      <c r="D104" t="s">
        <v>88</v>
      </c>
      <c r="E104">
        <v>915</v>
      </c>
      <c r="G104" t="s">
        <v>105</v>
      </c>
      <c r="H104" t="s">
        <v>293</v>
      </c>
      <c r="J104" t="str">
        <f t="shared" si="1"/>
        <v>〇</v>
      </c>
      <c r="L104" t="s">
        <v>292</v>
      </c>
    </row>
    <row r="105" spans="1:12">
      <c r="A105">
        <v>2</v>
      </c>
      <c r="B105" t="s">
        <v>294</v>
      </c>
      <c r="C105">
        <v>42797.464143518519</v>
      </c>
      <c r="D105" t="s">
        <v>295</v>
      </c>
      <c r="E105">
        <v>378</v>
      </c>
      <c r="G105" t="s">
        <v>100</v>
      </c>
      <c r="H105" t="s">
        <v>296</v>
      </c>
      <c r="J105" t="str">
        <f t="shared" si="1"/>
        <v>〇</v>
      </c>
      <c r="L105" t="s">
        <v>294</v>
      </c>
    </row>
    <row r="106" spans="1:12">
      <c r="A106">
        <v>1</v>
      </c>
      <c r="B106" t="s">
        <v>297</v>
      </c>
      <c r="C106">
        <v>42797.467986111114</v>
      </c>
      <c r="D106" t="s">
        <v>295</v>
      </c>
      <c r="E106">
        <v>189</v>
      </c>
      <c r="H106" t="s">
        <v>298</v>
      </c>
      <c r="J106" t="str">
        <f t="shared" si="1"/>
        <v>〇</v>
      </c>
      <c r="L106" t="s">
        <v>297</v>
      </c>
    </row>
    <row r="107" spans="1:12">
      <c r="A107">
        <v>1</v>
      </c>
      <c r="B107" t="s">
        <v>299</v>
      </c>
      <c r="C107">
        <v>42797.471006944441</v>
      </c>
      <c r="D107" t="s">
        <v>295</v>
      </c>
      <c r="E107">
        <v>239</v>
      </c>
      <c r="H107" t="s">
        <v>300</v>
      </c>
      <c r="J107" t="str">
        <f t="shared" si="1"/>
        <v>〇</v>
      </c>
      <c r="L107" t="s">
        <v>299</v>
      </c>
    </row>
    <row r="108" spans="1:12">
      <c r="A108">
        <v>1</v>
      </c>
      <c r="B108" t="s">
        <v>301</v>
      </c>
      <c r="C108">
        <v>42797.477685185186</v>
      </c>
      <c r="D108" t="s">
        <v>295</v>
      </c>
      <c r="E108">
        <v>247</v>
      </c>
      <c r="H108" t="s">
        <v>302</v>
      </c>
      <c r="J108" t="str">
        <f t="shared" si="1"/>
        <v>〇</v>
      </c>
      <c r="L108" t="s">
        <v>301</v>
      </c>
    </row>
    <row r="109" spans="1:12">
      <c r="A109">
        <v>1</v>
      </c>
      <c r="B109" t="s">
        <v>303</v>
      </c>
      <c r="C109">
        <v>42797.495844907404</v>
      </c>
      <c r="D109" t="s">
        <v>295</v>
      </c>
      <c r="E109">
        <v>78</v>
      </c>
      <c r="G109" t="s">
        <v>97</v>
      </c>
      <c r="H109" t="s">
        <v>304</v>
      </c>
      <c r="J109" t="str">
        <f t="shared" si="1"/>
        <v>〇</v>
      </c>
      <c r="L109" t="s">
        <v>303</v>
      </c>
    </row>
    <row r="110" spans="1:12">
      <c r="A110">
        <v>1</v>
      </c>
      <c r="B110" t="s">
        <v>305</v>
      </c>
      <c r="C110">
        <v>42797.481145833335</v>
      </c>
      <c r="D110" t="s">
        <v>295</v>
      </c>
      <c r="E110">
        <v>182</v>
      </c>
      <c r="G110" t="s">
        <v>100</v>
      </c>
      <c r="H110" t="s">
        <v>306</v>
      </c>
      <c r="J110" t="str">
        <f t="shared" si="1"/>
        <v>〇</v>
      </c>
      <c r="L110" t="s">
        <v>305</v>
      </c>
    </row>
    <row r="111" spans="1:12">
      <c r="A111">
        <v>1</v>
      </c>
      <c r="B111" t="s">
        <v>307</v>
      </c>
      <c r="C111">
        <v>42797.488495370373</v>
      </c>
      <c r="D111" t="s">
        <v>295</v>
      </c>
      <c r="E111">
        <v>202</v>
      </c>
      <c r="H111" t="s">
        <v>308</v>
      </c>
      <c r="J111" t="str">
        <f t="shared" si="1"/>
        <v>〇</v>
      </c>
      <c r="L111" t="s">
        <v>307</v>
      </c>
    </row>
    <row r="112" spans="1:12">
      <c r="A112">
        <v>1</v>
      </c>
      <c r="B112" t="s">
        <v>309</v>
      </c>
      <c r="C112">
        <v>42797.491111111114</v>
      </c>
      <c r="D112" t="s">
        <v>295</v>
      </c>
      <c r="E112">
        <v>47</v>
      </c>
      <c r="H112" t="s">
        <v>310</v>
      </c>
      <c r="J112" t="str">
        <f t="shared" si="1"/>
        <v>〇</v>
      </c>
      <c r="L112" t="s">
        <v>309</v>
      </c>
    </row>
    <row r="113" spans="1:12">
      <c r="A113">
        <v>1</v>
      </c>
      <c r="B113" t="s">
        <v>311</v>
      </c>
      <c r="C113">
        <v>42797.492743055554</v>
      </c>
      <c r="D113" t="s">
        <v>295</v>
      </c>
      <c r="E113">
        <v>24</v>
      </c>
      <c r="G113" t="s">
        <v>100</v>
      </c>
      <c r="H113" t="s">
        <v>312</v>
      </c>
      <c r="J113" t="str">
        <f t="shared" si="1"/>
        <v>〇</v>
      </c>
      <c r="L113" t="s">
        <v>311</v>
      </c>
    </row>
    <row r="114" spans="1:12">
      <c r="A114">
        <v>1</v>
      </c>
      <c r="B114" t="s">
        <v>313</v>
      </c>
      <c r="C114">
        <v>42797.494837962964</v>
      </c>
      <c r="D114" t="s">
        <v>295</v>
      </c>
      <c r="E114">
        <v>488</v>
      </c>
      <c r="H114" t="s">
        <v>314</v>
      </c>
      <c r="J114" t="str">
        <f t="shared" si="1"/>
        <v>〇</v>
      </c>
      <c r="L114" t="s">
        <v>313</v>
      </c>
    </row>
    <row r="115" spans="1:12">
      <c r="A115">
        <v>1</v>
      </c>
      <c r="B115" t="s">
        <v>315</v>
      </c>
      <c r="C115">
        <v>42797.499293981484</v>
      </c>
      <c r="D115" t="s">
        <v>295</v>
      </c>
      <c r="E115">
        <v>296</v>
      </c>
      <c r="G115" t="s">
        <v>97</v>
      </c>
      <c r="H115" t="s">
        <v>316</v>
      </c>
      <c r="J115" t="str">
        <f t="shared" si="1"/>
        <v>〇</v>
      </c>
      <c r="L115" t="s">
        <v>315</v>
      </c>
    </row>
    <row r="116" spans="1:12">
      <c r="A116">
        <v>1</v>
      </c>
      <c r="B116" t="s">
        <v>317</v>
      </c>
      <c r="C116">
        <v>42797.531759259262</v>
      </c>
      <c r="D116" t="s">
        <v>295</v>
      </c>
      <c r="E116">
        <v>699</v>
      </c>
      <c r="G116" t="s">
        <v>100</v>
      </c>
      <c r="H116" t="s">
        <v>318</v>
      </c>
      <c r="J116" t="str">
        <f t="shared" si="1"/>
        <v>〇</v>
      </c>
      <c r="L116" t="s">
        <v>317</v>
      </c>
    </row>
    <row r="117" spans="1:12">
      <c r="A117">
        <v>2</v>
      </c>
      <c r="B117" t="s">
        <v>319</v>
      </c>
      <c r="C117">
        <v>42797.534953703704</v>
      </c>
      <c r="D117" t="s">
        <v>295</v>
      </c>
      <c r="E117">
        <v>475</v>
      </c>
      <c r="H117" t="s">
        <v>320</v>
      </c>
      <c r="J117" t="str">
        <f t="shared" si="1"/>
        <v>〇</v>
      </c>
      <c r="L117" t="s">
        <v>319</v>
      </c>
    </row>
    <row r="118" spans="1:12">
      <c r="A118">
        <v>1</v>
      </c>
      <c r="B118" t="s">
        <v>321</v>
      </c>
      <c r="C118">
        <v>42797.53696759259</v>
      </c>
      <c r="D118" t="s">
        <v>295</v>
      </c>
      <c r="E118">
        <v>153</v>
      </c>
      <c r="G118" t="s">
        <v>97</v>
      </c>
      <c r="H118" t="s">
        <v>322</v>
      </c>
      <c r="J118" t="str">
        <f t="shared" si="1"/>
        <v>〇</v>
      </c>
      <c r="L118" t="s">
        <v>321</v>
      </c>
    </row>
    <row r="119" spans="1:12">
      <c r="A119">
        <v>2</v>
      </c>
      <c r="B119" t="s">
        <v>323</v>
      </c>
      <c r="C119">
        <v>42797.53979166667</v>
      </c>
      <c r="D119" t="s">
        <v>295</v>
      </c>
      <c r="E119">
        <v>797</v>
      </c>
      <c r="G119" t="s">
        <v>100</v>
      </c>
      <c r="H119" t="s">
        <v>324</v>
      </c>
      <c r="J119" t="str">
        <f t="shared" si="1"/>
        <v>〇</v>
      </c>
      <c r="L119" t="s">
        <v>323</v>
      </c>
    </row>
    <row r="120" spans="1:12">
      <c r="A120">
        <v>1</v>
      </c>
      <c r="B120" t="s">
        <v>325</v>
      </c>
      <c r="C120">
        <v>42797.558113425926</v>
      </c>
      <c r="D120" t="s">
        <v>134</v>
      </c>
      <c r="E120">
        <v>18</v>
      </c>
      <c r="G120" t="s">
        <v>100</v>
      </c>
      <c r="H120" t="s">
        <v>326</v>
      </c>
      <c r="J120" t="str">
        <f t="shared" si="1"/>
        <v>〇</v>
      </c>
      <c r="L120" t="s">
        <v>325</v>
      </c>
    </row>
    <row r="121" spans="1:12">
      <c r="A121">
        <v>1</v>
      </c>
      <c r="B121" t="s">
        <v>327</v>
      </c>
      <c r="C121">
        <v>42797.566655092596</v>
      </c>
      <c r="D121" t="s">
        <v>134</v>
      </c>
      <c r="E121">
        <v>20</v>
      </c>
      <c r="H121" t="s">
        <v>328</v>
      </c>
      <c r="J121" t="str">
        <f t="shared" si="1"/>
        <v>×</v>
      </c>
    </row>
    <row r="122" spans="1:12">
      <c r="A122">
        <v>1</v>
      </c>
      <c r="B122" t="s">
        <v>329</v>
      </c>
      <c r="C122">
        <v>42797.573819444442</v>
      </c>
      <c r="D122" t="s">
        <v>134</v>
      </c>
      <c r="E122">
        <v>275</v>
      </c>
      <c r="H122" t="s">
        <v>330</v>
      </c>
      <c r="J122" t="str">
        <f t="shared" si="1"/>
        <v>〇</v>
      </c>
      <c r="L122" t="s">
        <v>329</v>
      </c>
    </row>
    <row r="123" spans="1:12">
      <c r="A123">
        <v>1</v>
      </c>
      <c r="B123" t="s">
        <v>331</v>
      </c>
      <c r="C123">
        <v>42797.579282407409</v>
      </c>
      <c r="D123" t="s">
        <v>134</v>
      </c>
      <c r="E123">
        <v>48</v>
      </c>
      <c r="H123" t="s">
        <v>332</v>
      </c>
      <c r="J123" t="str">
        <f t="shared" si="1"/>
        <v>〇</v>
      </c>
      <c r="L123" t="s">
        <v>331</v>
      </c>
    </row>
    <row r="124" spans="1:12">
      <c r="A124">
        <v>1</v>
      </c>
      <c r="B124" t="s">
        <v>333</v>
      </c>
      <c r="C124">
        <v>42797.582638888889</v>
      </c>
      <c r="D124" t="s">
        <v>134</v>
      </c>
      <c r="E124">
        <v>172</v>
      </c>
      <c r="H124" t="s">
        <v>334</v>
      </c>
      <c r="J124" t="str">
        <f t="shared" si="1"/>
        <v>〇</v>
      </c>
      <c r="L124" t="s">
        <v>333</v>
      </c>
    </row>
    <row r="125" spans="1:12">
      <c r="A125">
        <v>1</v>
      </c>
      <c r="B125" t="s">
        <v>335</v>
      </c>
      <c r="C125">
        <v>42797.585555555554</v>
      </c>
      <c r="D125" t="s">
        <v>134</v>
      </c>
      <c r="E125">
        <v>341</v>
      </c>
      <c r="G125" t="s">
        <v>97</v>
      </c>
      <c r="H125" t="s">
        <v>336</v>
      </c>
      <c r="J125" t="str">
        <f t="shared" si="1"/>
        <v>〇</v>
      </c>
      <c r="L125" t="s">
        <v>335</v>
      </c>
    </row>
    <row r="126" spans="1:12">
      <c r="A126">
        <v>1</v>
      </c>
      <c r="B126" t="s">
        <v>337</v>
      </c>
      <c r="C126">
        <v>42797.587800925925</v>
      </c>
      <c r="D126" t="s">
        <v>134</v>
      </c>
      <c r="E126">
        <v>29</v>
      </c>
      <c r="G126" t="s">
        <v>100</v>
      </c>
      <c r="H126" t="s">
        <v>338</v>
      </c>
      <c r="J126" t="str">
        <f t="shared" si="1"/>
        <v>〇</v>
      </c>
      <c r="L126" t="s">
        <v>337</v>
      </c>
    </row>
    <row r="127" spans="1:12">
      <c r="A127">
        <v>1</v>
      </c>
      <c r="B127" t="s">
        <v>339</v>
      </c>
      <c r="C127">
        <v>42797.591249999998</v>
      </c>
      <c r="D127" t="s">
        <v>134</v>
      </c>
      <c r="E127">
        <v>368</v>
      </c>
      <c r="G127" t="s">
        <v>97</v>
      </c>
      <c r="H127" t="s">
        <v>340</v>
      </c>
      <c r="J127" t="str">
        <f t="shared" si="1"/>
        <v>〇</v>
      </c>
      <c r="L127" t="s">
        <v>339</v>
      </c>
    </row>
    <row r="128" spans="1:12">
      <c r="A128">
        <v>1</v>
      </c>
      <c r="B128" t="s">
        <v>341</v>
      </c>
      <c r="C128">
        <v>42797.594247685185</v>
      </c>
      <c r="D128" t="s">
        <v>134</v>
      </c>
      <c r="E128">
        <v>41</v>
      </c>
      <c r="G128" t="s">
        <v>100</v>
      </c>
      <c r="H128" t="s">
        <v>342</v>
      </c>
      <c r="J128" t="str">
        <f t="shared" si="1"/>
        <v>〇</v>
      </c>
      <c r="L128" t="s">
        <v>341</v>
      </c>
    </row>
    <row r="129" spans="1:12">
      <c r="A129">
        <v>1</v>
      </c>
      <c r="B129" t="s">
        <v>343</v>
      </c>
      <c r="C129">
        <v>42797.596898148149</v>
      </c>
      <c r="D129" t="s">
        <v>134</v>
      </c>
      <c r="E129">
        <v>273</v>
      </c>
      <c r="G129" t="s">
        <v>97</v>
      </c>
      <c r="H129" t="s">
        <v>344</v>
      </c>
      <c r="J129" t="str">
        <f t="shared" ref="J129:J192" si="2">IF(B129=L129,"〇","×")</f>
        <v>〇</v>
      </c>
      <c r="L129" t="s">
        <v>343</v>
      </c>
    </row>
    <row r="130" spans="1:12">
      <c r="A130">
        <v>1</v>
      </c>
      <c r="B130" t="s">
        <v>345</v>
      </c>
      <c r="C130">
        <v>42797.599988425929</v>
      </c>
      <c r="D130" t="s">
        <v>134</v>
      </c>
      <c r="E130">
        <v>915</v>
      </c>
      <c r="G130" t="s">
        <v>105</v>
      </c>
      <c r="H130" t="s">
        <v>346</v>
      </c>
      <c r="J130" t="str">
        <f t="shared" si="2"/>
        <v>〇</v>
      </c>
      <c r="L130" t="s">
        <v>345</v>
      </c>
    </row>
    <row r="131" spans="1:12">
      <c r="A131">
        <v>1</v>
      </c>
      <c r="B131" t="s">
        <v>347</v>
      </c>
      <c r="C131">
        <v>42797.58965277778</v>
      </c>
      <c r="D131" t="s">
        <v>88</v>
      </c>
      <c r="E131">
        <v>866</v>
      </c>
      <c r="G131" t="s">
        <v>100</v>
      </c>
      <c r="H131" t="s">
        <v>348</v>
      </c>
      <c r="J131" t="str">
        <f t="shared" si="2"/>
        <v>〇</v>
      </c>
      <c r="L131" t="s">
        <v>347</v>
      </c>
    </row>
    <row r="132" spans="1:12">
      <c r="A132">
        <v>3</v>
      </c>
      <c r="B132" t="s">
        <v>349</v>
      </c>
      <c r="C132">
        <v>42797.594618055555</v>
      </c>
      <c r="D132" t="s">
        <v>88</v>
      </c>
      <c r="E132">
        <v>675</v>
      </c>
      <c r="G132" t="s">
        <v>105</v>
      </c>
      <c r="H132" t="s">
        <v>350</v>
      </c>
      <c r="J132" t="str">
        <f t="shared" si="2"/>
        <v>〇</v>
      </c>
      <c r="L132" t="s">
        <v>349</v>
      </c>
    </row>
    <row r="133" spans="1:12">
      <c r="A133">
        <v>3</v>
      </c>
      <c r="B133" t="s">
        <v>351</v>
      </c>
      <c r="C133">
        <v>42797.597002314818</v>
      </c>
      <c r="D133" t="s">
        <v>88</v>
      </c>
      <c r="E133">
        <v>825</v>
      </c>
      <c r="G133" t="s">
        <v>105</v>
      </c>
      <c r="H133" t="s">
        <v>352</v>
      </c>
      <c r="J133" t="str">
        <f t="shared" si="2"/>
        <v>〇</v>
      </c>
      <c r="L133" t="s">
        <v>351</v>
      </c>
    </row>
    <row r="134" spans="1:12">
      <c r="A134">
        <v>2</v>
      </c>
      <c r="B134" t="s">
        <v>353</v>
      </c>
      <c r="C134">
        <v>42797.599317129629</v>
      </c>
      <c r="D134" t="s">
        <v>88</v>
      </c>
      <c r="E134">
        <v>915</v>
      </c>
      <c r="G134" t="s">
        <v>105</v>
      </c>
      <c r="H134" t="s">
        <v>354</v>
      </c>
      <c r="J134" t="str">
        <f t="shared" si="2"/>
        <v>〇</v>
      </c>
      <c r="L134" t="s">
        <v>353</v>
      </c>
    </row>
    <row r="135" spans="1:12">
      <c r="A135">
        <v>1</v>
      </c>
      <c r="B135" t="s">
        <v>355</v>
      </c>
      <c r="C135">
        <v>42797.601261574076</v>
      </c>
      <c r="D135" t="s">
        <v>88</v>
      </c>
      <c r="E135">
        <v>739</v>
      </c>
      <c r="G135" t="s">
        <v>100</v>
      </c>
      <c r="H135" t="s">
        <v>356</v>
      </c>
      <c r="J135" t="str">
        <f t="shared" si="2"/>
        <v>〇</v>
      </c>
      <c r="L135" t="s">
        <v>355</v>
      </c>
    </row>
    <row r="136" spans="1:12">
      <c r="A136">
        <v>2</v>
      </c>
      <c r="B136" t="s">
        <v>357</v>
      </c>
      <c r="C136">
        <v>42797.603136574071</v>
      </c>
      <c r="D136" t="s">
        <v>88</v>
      </c>
      <c r="E136">
        <v>237</v>
      </c>
      <c r="G136" t="s">
        <v>100</v>
      </c>
      <c r="H136" t="s">
        <v>358</v>
      </c>
      <c r="J136" t="str">
        <f t="shared" si="2"/>
        <v>〇</v>
      </c>
      <c r="L136" t="s">
        <v>357</v>
      </c>
    </row>
    <row r="137" spans="1:12">
      <c r="A137">
        <v>2</v>
      </c>
      <c r="B137" t="s">
        <v>359</v>
      </c>
      <c r="C137">
        <v>42797.605023148149</v>
      </c>
      <c r="D137" t="s">
        <v>88</v>
      </c>
      <c r="E137">
        <v>243</v>
      </c>
      <c r="G137" t="s">
        <v>97</v>
      </c>
      <c r="H137" t="s">
        <v>360</v>
      </c>
      <c r="J137" t="str">
        <f t="shared" si="2"/>
        <v>〇</v>
      </c>
      <c r="L137" t="s">
        <v>359</v>
      </c>
    </row>
    <row r="138" spans="1:12">
      <c r="A138">
        <v>1</v>
      </c>
      <c r="B138" t="s">
        <v>361</v>
      </c>
      <c r="C138">
        <v>42797.538171296299</v>
      </c>
      <c r="D138" t="s">
        <v>162</v>
      </c>
      <c r="E138">
        <v>542</v>
      </c>
      <c r="H138" t="s">
        <v>362</v>
      </c>
      <c r="J138" t="str">
        <f t="shared" si="2"/>
        <v>〇</v>
      </c>
      <c r="L138" t="s">
        <v>361</v>
      </c>
    </row>
    <row r="139" spans="1:12">
      <c r="A139">
        <v>1</v>
      </c>
      <c r="B139" t="s">
        <v>363</v>
      </c>
      <c r="C139">
        <v>42797.539988425924</v>
      </c>
      <c r="D139" t="s">
        <v>162</v>
      </c>
      <c r="E139">
        <v>459</v>
      </c>
      <c r="H139" t="s">
        <v>364</v>
      </c>
      <c r="J139" t="str">
        <f t="shared" si="2"/>
        <v>〇</v>
      </c>
      <c r="L139" t="s">
        <v>363</v>
      </c>
    </row>
    <row r="140" spans="1:12">
      <c r="A140">
        <v>1</v>
      </c>
      <c r="B140" t="s">
        <v>365</v>
      </c>
      <c r="C140">
        <v>42797.541689814818</v>
      </c>
      <c r="D140" t="s">
        <v>162</v>
      </c>
      <c r="E140">
        <v>610</v>
      </c>
      <c r="H140" t="s">
        <v>366</v>
      </c>
      <c r="J140" t="str">
        <f t="shared" si="2"/>
        <v>〇</v>
      </c>
      <c r="L140" t="s">
        <v>365</v>
      </c>
    </row>
    <row r="141" spans="1:12">
      <c r="A141">
        <v>1</v>
      </c>
      <c r="B141" t="s">
        <v>367</v>
      </c>
      <c r="C141">
        <v>42797.543506944443</v>
      </c>
      <c r="D141" t="s">
        <v>162</v>
      </c>
      <c r="E141">
        <v>388</v>
      </c>
      <c r="H141" t="s">
        <v>368</v>
      </c>
      <c r="J141" t="str">
        <f t="shared" si="2"/>
        <v>〇</v>
      </c>
      <c r="L141" t="s">
        <v>367</v>
      </c>
    </row>
    <row r="142" spans="1:12">
      <c r="A142">
        <v>1</v>
      </c>
      <c r="B142" t="s">
        <v>369</v>
      </c>
      <c r="C142">
        <v>42797.545069444444</v>
      </c>
      <c r="D142" t="s">
        <v>162</v>
      </c>
      <c r="E142">
        <v>95</v>
      </c>
      <c r="H142" t="s">
        <v>370</v>
      </c>
      <c r="J142" t="str">
        <f t="shared" si="2"/>
        <v>〇</v>
      </c>
      <c r="L142" t="s">
        <v>369</v>
      </c>
    </row>
    <row r="143" spans="1:12">
      <c r="A143">
        <v>1</v>
      </c>
      <c r="B143" t="s">
        <v>371</v>
      </c>
      <c r="C143">
        <v>42797.546759259261</v>
      </c>
      <c r="D143" t="s">
        <v>162</v>
      </c>
      <c r="E143">
        <v>431</v>
      </c>
      <c r="G143" t="s">
        <v>97</v>
      </c>
      <c r="H143" t="s">
        <v>372</v>
      </c>
      <c r="J143" t="str">
        <f t="shared" si="2"/>
        <v>〇</v>
      </c>
      <c r="L143" t="s">
        <v>371</v>
      </c>
    </row>
    <row r="144" spans="1:12">
      <c r="A144">
        <v>1</v>
      </c>
      <c r="B144" t="s">
        <v>373</v>
      </c>
      <c r="C144">
        <v>42797.548819444448</v>
      </c>
      <c r="D144" t="s">
        <v>162</v>
      </c>
      <c r="E144">
        <v>650</v>
      </c>
      <c r="H144" t="s">
        <v>374</v>
      </c>
      <c r="J144" t="str">
        <f t="shared" si="2"/>
        <v>〇</v>
      </c>
      <c r="L144" t="s">
        <v>373</v>
      </c>
    </row>
    <row r="145" spans="1:12">
      <c r="A145">
        <v>2</v>
      </c>
      <c r="B145" t="s">
        <v>375</v>
      </c>
      <c r="C145">
        <v>42797.550949074073</v>
      </c>
      <c r="D145" t="s">
        <v>162</v>
      </c>
      <c r="E145">
        <v>642</v>
      </c>
      <c r="H145" t="s">
        <v>376</v>
      </c>
      <c r="J145" t="str">
        <f t="shared" si="2"/>
        <v>〇</v>
      </c>
      <c r="L145" t="s">
        <v>375</v>
      </c>
    </row>
    <row r="146" spans="1:12">
      <c r="A146">
        <v>2</v>
      </c>
      <c r="B146" t="s">
        <v>377</v>
      </c>
      <c r="C146">
        <v>42797.551921296297</v>
      </c>
      <c r="D146" t="s">
        <v>162</v>
      </c>
      <c r="E146" t="s">
        <v>110</v>
      </c>
      <c r="J146" t="str">
        <f t="shared" si="2"/>
        <v>×</v>
      </c>
    </row>
    <row r="147" spans="1:12">
      <c r="A147">
        <v>1</v>
      </c>
      <c r="B147" t="s">
        <v>378</v>
      </c>
      <c r="C147">
        <v>42797.552812499998</v>
      </c>
      <c r="D147" t="s">
        <v>162</v>
      </c>
      <c r="E147" t="s">
        <v>110</v>
      </c>
      <c r="J147" t="str">
        <f t="shared" si="2"/>
        <v>〇</v>
      </c>
      <c r="L147" t="s">
        <v>378</v>
      </c>
    </row>
    <row r="148" spans="1:12">
      <c r="A148">
        <v>1</v>
      </c>
      <c r="B148" t="s">
        <v>379</v>
      </c>
      <c r="C148">
        <v>42797.553206018521</v>
      </c>
      <c r="D148" t="s">
        <v>162</v>
      </c>
      <c r="E148" t="s">
        <v>110</v>
      </c>
      <c r="J148" t="str">
        <f t="shared" si="2"/>
        <v>〇</v>
      </c>
      <c r="L148" t="s">
        <v>379</v>
      </c>
    </row>
    <row r="149" spans="1:12">
      <c r="A149">
        <v>1</v>
      </c>
      <c r="B149" t="s">
        <v>380</v>
      </c>
      <c r="C149">
        <v>42797.554849537039</v>
      </c>
      <c r="D149" t="s">
        <v>162</v>
      </c>
      <c r="E149">
        <v>69</v>
      </c>
      <c r="H149" t="s">
        <v>381</v>
      </c>
      <c r="J149" t="str">
        <f t="shared" si="2"/>
        <v>〇</v>
      </c>
      <c r="L149" t="s">
        <v>380</v>
      </c>
    </row>
    <row r="150" spans="1:12">
      <c r="A150">
        <v>1</v>
      </c>
      <c r="B150" t="s">
        <v>382</v>
      </c>
      <c r="C150">
        <v>42797.556446759256</v>
      </c>
      <c r="D150" t="s">
        <v>162</v>
      </c>
      <c r="E150">
        <v>79</v>
      </c>
      <c r="H150" t="s">
        <v>383</v>
      </c>
      <c r="J150" t="str">
        <f t="shared" si="2"/>
        <v>〇</v>
      </c>
      <c r="L150" t="s">
        <v>382</v>
      </c>
    </row>
    <row r="151" spans="1:12">
      <c r="A151">
        <v>1</v>
      </c>
      <c r="B151" t="s">
        <v>384</v>
      </c>
      <c r="C151">
        <v>42797.558645833335</v>
      </c>
      <c r="D151" t="s">
        <v>162</v>
      </c>
      <c r="E151">
        <v>219</v>
      </c>
      <c r="G151" t="s">
        <v>97</v>
      </c>
      <c r="H151" t="s">
        <v>385</v>
      </c>
      <c r="J151" t="str">
        <f t="shared" si="2"/>
        <v>〇</v>
      </c>
      <c r="L151" t="s">
        <v>384</v>
      </c>
    </row>
    <row r="152" spans="1:12">
      <c r="A152">
        <v>1</v>
      </c>
      <c r="B152" t="s">
        <v>386</v>
      </c>
      <c r="C152">
        <v>42797.560011574074</v>
      </c>
      <c r="D152" t="s">
        <v>162</v>
      </c>
      <c r="E152">
        <v>287</v>
      </c>
      <c r="G152" t="s">
        <v>100</v>
      </c>
      <c r="H152" t="s">
        <v>387</v>
      </c>
      <c r="J152" t="str">
        <f t="shared" si="2"/>
        <v>〇</v>
      </c>
      <c r="L152" t="s">
        <v>386</v>
      </c>
    </row>
    <row r="153" spans="1:12">
      <c r="A153">
        <v>1</v>
      </c>
      <c r="B153" t="s">
        <v>388</v>
      </c>
      <c r="C153">
        <v>42797.562824074077</v>
      </c>
      <c r="D153" t="s">
        <v>162</v>
      </c>
      <c r="E153">
        <v>430</v>
      </c>
      <c r="G153" t="s">
        <v>97</v>
      </c>
      <c r="H153" t="s">
        <v>389</v>
      </c>
      <c r="J153" t="str">
        <f t="shared" si="2"/>
        <v>〇</v>
      </c>
      <c r="L153" t="s">
        <v>388</v>
      </c>
    </row>
    <row r="154" spans="1:12">
      <c r="A154">
        <v>2</v>
      </c>
      <c r="B154" t="s">
        <v>390</v>
      </c>
      <c r="C154">
        <v>42797.564502314817</v>
      </c>
      <c r="D154" t="s">
        <v>162</v>
      </c>
      <c r="E154">
        <v>662</v>
      </c>
      <c r="G154" t="s">
        <v>100</v>
      </c>
      <c r="H154" t="s">
        <v>391</v>
      </c>
      <c r="J154" t="str">
        <f t="shared" si="2"/>
        <v>〇</v>
      </c>
      <c r="L154" t="s">
        <v>390</v>
      </c>
    </row>
    <row r="155" spans="1:12">
      <c r="A155">
        <v>2</v>
      </c>
      <c r="B155" t="s">
        <v>392</v>
      </c>
      <c r="C155">
        <v>42797.566770833335</v>
      </c>
      <c r="D155" t="s">
        <v>162</v>
      </c>
      <c r="E155">
        <v>109</v>
      </c>
      <c r="G155" t="s">
        <v>97</v>
      </c>
      <c r="H155" t="s">
        <v>393</v>
      </c>
      <c r="J155" t="str">
        <f t="shared" si="2"/>
        <v>×</v>
      </c>
    </row>
    <row r="156" spans="1:12">
      <c r="A156">
        <v>2</v>
      </c>
      <c r="B156" t="s">
        <v>394</v>
      </c>
      <c r="C156">
        <v>42797.553148148145</v>
      </c>
      <c r="D156" t="s">
        <v>194</v>
      </c>
      <c r="E156">
        <v>199</v>
      </c>
      <c r="G156" t="s">
        <v>100</v>
      </c>
      <c r="H156" t="s">
        <v>395</v>
      </c>
      <c r="J156" t="str">
        <f t="shared" si="2"/>
        <v>〇</v>
      </c>
      <c r="L156" t="s">
        <v>394</v>
      </c>
    </row>
    <row r="157" spans="1:12">
      <c r="A157">
        <v>2</v>
      </c>
      <c r="B157" t="s">
        <v>396</v>
      </c>
      <c r="C157">
        <v>42797.555208333331</v>
      </c>
      <c r="D157" t="s">
        <v>194</v>
      </c>
      <c r="E157">
        <v>559</v>
      </c>
      <c r="G157" t="s">
        <v>97</v>
      </c>
      <c r="H157" t="s">
        <v>397</v>
      </c>
      <c r="J157" t="str">
        <f t="shared" si="2"/>
        <v>×</v>
      </c>
    </row>
    <row r="158" spans="1:12">
      <c r="A158">
        <v>1</v>
      </c>
      <c r="B158" t="s">
        <v>398</v>
      </c>
      <c r="C158">
        <v>42797.557488425926</v>
      </c>
      <c r="D158" t="s">
        <v>194</v>
      </c>
      <c r="E158">
        <v>300</v>
      </c>
      <c r="G158" t="s">
        <v>97</v>
      </c>
      <c r="H158" t="s">
        <v>399</v>
      </c>
      <c r="J158" t="str">
        <f t="shared" si="2"/>
        <v>〇</v>
      </c>
      <c r="L158" t="s">
        <v>398</v>
      </c>
    </row>
    <row r="159" spans="1:12">
      <c r="A159">
        <v>3</v>
      </c>
      <c r="B159" t="s">
        <v>400</v>
      </c>
      <c r="C159">
        <v>42797.560798611114</v>
      </c>
      <c r="D159" t="s">
        <v>194</v>
      </c>
      <c r="E159">
        <v>98</v>
      </c>
      <c r="G159" t="s">
        <v>100</v>
      </c>
      <c r="H159" t="s">
        <v>401</v>
      </c>
      <c r="J159" t="str">
        <f t="shared" si="2"/>
        <v>〇</v>
      </c>
      <c r="L159" t="s">
        <v>400</v>
      </c>
    </row>
    <row r="160" spans="1:12">
      <c r="A160">
        <v>1</v>
      </c>
      <c r="B160" t="s">
        <v>402</v>
      </c>
      <c r="C160">
        <v>42797.564664351848</v>
      </c>
      <c r="D160" t="s">
        <v>194</v>
      </c>
      <c r="E160">
        <v>391</v>
      </c>
      <c r="G160" t="s">
        <v>100</v>
      </c>
      <c r="H160" t="s">
        <v>403</v>
      </c>
      <c r="J160" t="str">
        <f t="shared" si="2"/>
        <v>〇</v>
      </c>
      <c r="L160" t="s">
        <v>402</v>
      </c>
    </row>
    <row r="161" spans="1:12">
      <c r="A161">
        <v>1</v>
      </c>
      <c r="B161" t="s">
        <v>404</v>
      </c>
      <c r="C161">
        <v>42797.573078703703</v>
      </c>
      <c r="D161" t="s">
        <v>194</v>
      </c>
      <c r="E161">
        <v>420</v>
      </c>
      <c r="G161" t="s">
        <v>97</v>
      </c>
      <c r="H161" t="s">
        <v>405</v>
      </c>
      <c r="J161" t="str">
        <f t="shared" si="2"/>
        <v>〇</v>
      </c>
      <c r="L161" t="s">
        <v>404</v>
      </c>
    </row>
    <row r="162" spans="1:12">
      <c r="A162">
        <v>1</v>
      </c>
      <c r="B162" t="s">
        <v>406</v>
      </c>
      <c r="C162">
        <v>42797.57540509259</v>
      </c>
      <c r="D162" t="s">
        <v>194</v>
      </c>
      <c r="E162">
        <v>150</v>
      </c>
      <c r="G162" t="s">
        <v>105</v>
      </c>
      <c r="H162" t="s">
        <v>407</v>
      </c>
      <c r="J162" t="str">
        <f t="shared" si="2"/>
        <v>〇</v>
      </c>
      <c r="L162" t="s">
        <v>406</v>
      </c>
    </row>
    <row r="163" spans="1:12">
      <c r="A163">
        <v>1</v>
      </c>
      <c r="B163" t="s">
        <v>408</v>
      </c>
      <c r="C163">
        <v>42797.577789351853</v>
      </c>
      <c r="D163" t="s">
        <v>194</v>
      </c>
      <c r="E163">
        <v>46</v>
      </c>
      <c r="H163" t="s">
        <v>409</v>
      </c>
      <c r="J163" t="str">
        <f t="shared" si="2"/>
        <v>〇</v>
      </c>
      <c r="L163" t="s">
        <v>408</v>
      </c>
    </row>
    <row r="164" spans="1:12">
      <c r="A164">
        <v>1</v>
      </c>
      <c r="B164" t="s">
        <v>410</v>
      </c>
      <c r="C164">
        <v>42797.58011574074</v>
      </c>
      <c r="D164" t="s">
        <v>194</v>
      </c>
      <c r="E164">
        <v>488</v>
      </c>
      <c r="G164" t="s">
        <v>97</v>
      </c>
      <c r="H164" t="s">
        <v>411</v>
      </c>
      <c r="J164" t="str">
        <f t="shared" si="2"/>
        <v>〇</v>
      </c>
      <c r="L164" t="s">
        <v>410</v>
      </c>
    </row>
    <row r="165" spans="1:12">
      <c r="A165">
        <v>1</v>
      </c>
      <c r="B165" t="s">
        <v>412</v>
      </c>
      <c r="C165">
        <v>42797.582488425927</v>
      </c>
      <c r="D165" t="s">
        <v>194</v>
      </c>
      <c r="E165">
        <v>76</v>
      </c>
      <c r="H165" t="s">
        <v>413</v>
      </c>
      <c r="J165" t="str">
        <f t="shared" si="2"/>
        <v>〇</v>
      </c>
      <c r="L165" t="s">
        <v>412</v>
      </c>
    </row>
    <row r="166" spans="1:12">
      <c r="A166">
        <v>1</v>
      </c>
      <c r="B166" t="s">
        <v>414</v>
      </c>
      <c r="C166">
        <v>42797.584409722222</v>
      </c>
      <c r="D166" t="s">
        <v>194</v>
      </c>
      <c r="E166">
        <v>137</v>
      </c>
      <c r="H166" t="s">
        <v>415</v>
      </c>
      <c r="J166" t="str">
        <f t="shared" si="2"/>
        <v>〇</v>
      </c>
      <c r="L166" t="s">
        <v>414</v>
      </c>
    </row>
    <row r="167" spans="1:12">
      <c r="A167">
        <v>2</v>
      </c>
      <c r="B167" t="s">
        <v>416</v>
      </c>
      <c r="C167">
        <v>42797.586655092593</v>
      </c>
      <c r="D167" t="s">
        <v>194</v>
      </c>
      <c r="E167" t="s">
        <v>110</v>
      </c>
      <c r="J167" t="str">
        <f t="shared" si="2"/>
        <v>〇</v>
      </c>
      <c r="L167" t="s">
        <v>416</v>
      </c>
    </row>
    <row r="168" spans="1:12">
      <c r="A168">
        <v>2</v>
      </c>
      <c r="B168" t="s">
        <v>417</v>
      </c>
      <c r="C168">
        <v>42797.588414351849</v>
      </c>
      <c r="D168" t="s">
        <v>194</v>
      </c>
      <c r="E168" t="s">
        <v>110</v>
      </c>
      <c r="J168" t="str">
        <f t="shared" si="2"/>
        <v>〇</v>
      </c>
      <c r="L168" t="s">
        <v>417</v>
      </c>
    </row>
    <row r="169" spans="1:12">
      <c r="A169">
        <v>1</v>
      </c>
      <c r="B169" t="s">
        <v>418</v>
      </c>
      <c r="C169">
        <v>42797.590312499997</v>
      </c>
      <c r="D169" t="s">
        <v>194</v>
      </c>
      <c r="E169">
        <v>23</v>
      </c>
      <c r="H169" t="s">
        <v>419</v>
      </c>
      <c r="J169" t="str">
        <f t="shared" si="2"/>
        <v>〇</v>
      </c>
      <c r="L169" t="s">
        <v>418</v>
      </c>
    </row>
    <row r="170" spans="1:12">
      <c r="A170">
        <v>1</v>
      </c>
      <c r="B170" t="s">
        <v>420</v>
      </c>
      <c r="C170">
        <v>42797.591678240744</v>
      </c>
      <c r="D170" t="s">
        <v>194</v>
      </c>
      <c r="E170" t="s">
        <v>110</v>
      </c>
      <c r="J170" t="str">
        <f t="shared" si="2"/>
        <v>〇</v>
      </c>
      <c r="L170" t="s">
        <v>420</v>
      </c>
    </row>
    <row r="171" spans="1:12">
      <c r="A171">
        <v>1</v>
      </c>
      <c r="B171" t="s">
        <v>421</v>
      </c>
      <c r="C171">
        <v>42797.592430555553</v>
      </c>
      <c r="D171" t="s">
        <v>194</v>
      </c>
      <c r="E171" t="s">
        <v>110</v>
      </c>
      <c r="J171" t="str">
        <f t="shared" si="2"/>
        <v>〇</v>
      </c>
      <c r="L171" t="s">
        <v>421</v>
      </c>
    </row>
    <row r="172" spans="1:12">
      <c r="A172">
        <v>1</v>
      </c>
      <c r="B172" t="s">
        <v>422</v>
      </c>
      <c r="C172">
        <v>42797.603483796294</v>
      </c>
      <c r="D172" t="s">
        <v>229</v>
      </c>
      <c r="E172">
        <v>94</v>
      </c>
      <c r="H172" t="s">
        <v>423</v>
      </c>
      <c r="J172" t="str">
        <f t="shared" si="2"/>
        <v>〇</v>
      </c>
      <c r="L172" t="s">
        <v>422</v>
      </c>
    </row>
    <row r="173" spans="1:12">
      <c r="A173">
        <v>1</v>
      </c>
      <c r="B173" t="s">
        <v>424</v>
      </c>
      <c r="C173">
        <v>42797.608043981483</v>
      </c>
      <c r="D173" t="s">
        <v>229</v>
      </c>
      <c r="E173">
        <v>22</v>
      </c>
      <c r="H173" t="s">
        <v>425</v>
      </c>
      <c r="J173" t="str">
        <f t="shared" si="2"/>
        <v>×</v>
      </c>
    </row>
    <row r="174" spans="1:12">
      <c r="A174">
        <v>1</v>
      </c>
      <c r="B174" t="s">
        <v>426</v>
      </c>
      <c r="C174">
        <v>42797.610648148147</v>
      </c>
      <c r="D174" t="s">
        <v>229</v>
      </c>
      <c r="E174" t="s">
        <v>110</v>
      </c>
      <c r="J174" t="str">
        <f t="shared" si="2"/>
        <v>〇</v>
      </c>
      <c r="L174" t="s">
        <v>426</v>
      </c>
    </row>
    <row r="175" spans="1:12">
      <c r="A175">
        <v>6</v>
      </c>
      <c r="B175" t="s">
        <v>427</v>
      </c>
      <c r="C175">
        <v>42797.614999999998</v>
      </c>
      <c r="D175" t="s">
        <v>229</v>
      </c>
      <c r="E175">
        <v>877</v>
      </c>
      <c r="G175" t="s">
        <v>105</v>
      </c>
      <c r="H175" t="s">
        <v>428</v>
      </c>
      <c r="J175" t="str">
        <f t="shared" si="2"/>
        <v>〇</v>
      </c>
      <c r="L175" t="s">
        <v>427</v>
      </c>
    </row>
    <row r="176" spans="1:12">
      <c r="A176">
        <v>1</v>
      </c>
      <c r="B176" t="s">
        <v>429</v>
      </c>
      <c r="C176">
        <v>42797.617268518516</v>
      </c>
      <c r="D176" t="s">
        <v>229</v>
      </c>
      <c r="E176">
        <v>877</v>
      </c>
      <c r="G176" t="s">
        <v>105</v>
      </c>
      <c r="H176" t="s">
        <v>430</v>
      </c>
      <c r="J176" t="str">
        <f t="shared" si="2"/>
        <v>〇</v>
      </c>
      <c r="L176" t="s">
        <v>429</v>
      </c>
    </row>
    <row r="177" spans="1:12">
      <c r="A177">
        <v>2</v>
      </c>
      <c r="B177" t="s">
        <v>431</v>
      </c>
      <c r="C177">
        <v>42797.635625000003</v>
      </c>
      <c r="D177" t="s">
        <v>229</v>
      </c>
      <c r="E177">
        <v>450</v>
      </c>
      <c r="G177" t="s">
        <v>100</v>
      </c>
      <c r="H177" t="s">
        <v>432</v>
      </c>
      <c r="J177" t="str">
        <f t="shared" si="2"/>
        <v>〇</v>
      </c>
      <c r="L177" t="s">
        <v>431</v>
      </c>
    </row>
    <row r="178" spans="1:12">
      <c r="A178">
        <v>2</v>
      </c>
      <c r="B178" t="s">
        <v>433</v>
      </c>
      <c r="C178">
        <v>42797.640173611115</v>
      </c>
      <c r="D178" t="s">
        <v>229</v>
      </c>
      <c r="E178">
        <v>423</v>
      </c>
      <c r="H178" t="s">
        <v>434</v>
      </c>
      <c r="J178" t="str">
        <f t="shared" si="2"/>
        <v>〇</v>
      </c>
      <c r="L178" t="s">
        <v>433</v>
      </c>
    </row>
    <row r="179" spans="1:12">
      <c r="A179">
        <v>1</v>
      </c>
      <c r="B179" t="s">
        <v>435</v>
      </c>
      <c r="C179">
        <v>42797.615729166668</v>
      </c>
      <c r="D179" t="s">
        <v>194</v>
      </c>
      <c r="E179">
        <v>507</v>
      </c>
      <c r="G179" t="s">
        <v>436</v>
      </c>
      <c r="H179" t="s">
        <v>437</v>
      </c>
      <c r="J179" t="str">
        <f t="shared" si="2"/>
        <v>〇</v>
      </c>
      <c r="L179" t="s">
        <v>435</v>
      </c>
    </row>
    <row r="180" spans="1:12">
      <c r="A180">
        <v>1</v>
      </c>
      <c r="B180" t="s">
        <v>438</v>
      </c>
      <c r="C180">
        <v>42797.605775462966</v>
      </c>
      <c r="D180" t="s">
        <v>194</v>
      </c>
      <c r="E180" t="s">
        <v>110</v>
      </c>
      <c r="J180" t="str">
        <f t="shared" si="2"/>
        <v>〇</v>
      </c>
      <c r="L180" t="s">
        <v>438</v>
      </c>
    </row>
    <row r="181" spans="1:12">
      <c r="A181">
        <v>1</v>
      </c>
      <c r="B181" t="s">
        <v>439</v>
      </c>
      <c r="C181">
        <v>42797.608402777776</v>
      </c>
      <c r="D181" t="s">
        <v>194</v>
      </c>
      <c r="E181">
        <v>199</v>
      </c>
      <c r="G181" t="s">
        <v>100</v>
      </c>
      <c r="H181" t="s">
        <v>440</v>
      </c>
      <c r="J181" t="str">
        <f t="shared" si="2"/>
        <v>〇</v>
      </c>
      <c r="L181" t="s">
        <v>439</v>
      </c>
    </row>
    <row r="182" spans="1:12">
      <c r="A182">
        <v>2</v>
      </c>
      <c r="B182" t="s">
        <v>441</v>
      </c>
      <c r="C182">
        <v>42797.610046296293</v>
      </c>
      <c r="D182" t="s">
        <v>194</v>
      </c>
      <c r="E182">
        <v>25</v>
      </c>
      <c r="G182" t="s">
        <v>97</v>
      </c>
      <c r="H182" t="s">
        <v>442</v>
      </c>
      <c r="J182" t="str">
        <f t="shared" si="2"/>
        <v>〇</v>
      </c>
      <c r="L182" t="s">
        <v>441</v>
      </c>
    </row>
    <row r="183" spans="1:12">
      <c r="A183">
        <v>1</v>
      </c>
      <c r="B183" t="s">
        <v>443</v>
      </c>
      <c r="C183">
        <v>42797.614803240744</v>
      </c>
      <c r="D183" t="s">
        <v>194</v>
      </c>
      <c r="E183">
        <v>435</v>
      </c>
      <c r="H183" t="s">
        <v>444</v>
      </c>
      <c r="J183" t="str">
        <f t="shared" si="2"/>
        <v>〇</v>
      </c>
      <c r="L183" t="s">
        <v>443</v>
      </c>
    </row>
    <row r="184" spans="1:12">
      <c r="A184">
        <v>1</v>
      </c>
      <c r="B184" t="s">
        <v>445</v>
      </c>
      <c r="C184">
        <v>42797.627476851849</v>
      </c>
      <c r="D184" t="s">
        <v>194</v>
      </c>
      <c r="E184">
        <v>71</v>
      </c>
      <c r="G184" t="s">
        <v>97</v>
      </c>
      <c r="H184" t="s">
        <v>446</v>
      </c>
      <c r="J184" t="str">
        <f t="shared" si="2"/>
        <v>〇</v>
      </c>
      <c r="L184" t="s">
        <v>445</v>
      </c>
    </row>
    <row r="185" spans="1:12">
      <c r="A185">
        <v>1</v>
      </c>
      <c r="B185" t="s">
        <v>447</v>
      </c>
      <c r="C185">
        <v>42797.629027777781</v>
      </c>
      <c r="D185" t="s">
        <v>194</v>
      </c>
      <c r="E185">
        <v>165</v>
      </c>
      <c r="G185" t="s">
        <v>105</v>
      </c>
      <c r="H185" t="s">
        <v>448</v>
      </c>
      <c r="J185" t="str">
        <f t="shared" si="2"/>
        <v>〇</v>
      </c>
      <c r="L185" t="s">
        <v>447</v>
      </c>
    </row>
    <row r="186" spans="1:12">
      <c r="A186">
        <v>1</v>
      </c>
      <c r="B186" t="s">
        <v>449</v>
      </c>
      <c r="C186">
        <v>42797.630231481482</v>
      </c>
      <c r="D186" t="s">
        <v>194</v>
      </c>
      <c r="E186" t="s">
        <v>110</v>
      </c>
      <c r="J186" t="str">
        <f t="shared" si="2"/>
        <v>〇</v>
      </c>
      <c r="L186" t="s">
        <v>449</v>
      </c>
    </row>
    <row r="187" spans="1:12">
      <c r="A187">
        <v>2</v>
      </c>
      <c r="B187" t="s">
        <v>450</v>
      </c>
      <c r="C187">
        <v>42797.632800925923</v>
      </c>
      <c r="D187" t="s">
        <v>194</v>
      </c>
      <c r="E187">
        <v>65</v>
      </c>
      <c r="H187" t="s">
        <v>451</v>
      </c>
      <c r="J187" t="str">
        <f t="shared" si="2"/>
        <v>〇</v>
      </c>
      <c r="L187" t="s">
        <v>450</v>
      </c>
    </row>
    <row r="188" spans="1:12">
      <c r="A188">
        <v>1</v>
      </c>
      <c r="B188" t="s">
        <v>452</v>
      </c>
      <c r="C188">
        <v>42797.635081018518</v>
      </c>
      <c r="D188" t="s">
        <v>194</v>
      </c>
      <c r="E188">
        <v>833</v>
      </c>
      <c r="H188" t="s">
        <v>453</v>
      </c>
      <c r="J188" t="str">
        <f t="shared" si="2"/>
        <v>〇</v>
      </c>
      <c r="L188" t="s">
        <v>452</v>
      </c>
    </row>
    <row r="189" spans="1:12">
      <c r="A189">
        <v>1</v>
      </c>
      <c r="B189" t="s">
        <v>454</v>
      </c>
      <c r="C189">
        <v>42797.568912037037</v>
      </c>
      <c r="D189" t="s">
        <v>162</v>
      </c>
      <c r="E189" t="s">
        <v>110</v>
      </c>
      <c r="J189" t="str">
        <f t="shared" si="2"/>
        <v>〇</v>
      </c>
      <c r="L189" t="s">
        <v>454</v>
      </c>
    </row>
    <row r="190" spans="1:12">
      <c r="A190">
        <v>2</v>
      </c>
      <c r="B190" t="s">
        <v>455</v>
      </c>
      <c r="C190">
        <v>42797.571331018517</v>
      </c>
      <c r="D190" t="s">
        <v>162</v>
      </c>
      <c r="E190">
        <v>546</v>
      </c>
      <c r="H190" t="s">
        <v>456</v>
      </c>
      <c r="J190" t="str">
        <f t="shared" si="2"/>
        <v>〇</v>
      </c>
      <c r="L190" t="s">
        <v>455</v>
      </c>
    </row>
    <row r="191" spans="1:12">
      <c r="A191">
        <v>2</v>
      </c>
      <c r="B191" t="s">
        <v>457</v>
      </c>
      <c r="C191">
        <v>42797.572175925925</v>
      </c>
      <c r="D191" t="s">
        <v>162</v>
      </c>
      <c r="E191" t="s">
        <v>110</v>
      </c>
      <c r="J191" t="str">
        <f t="shared" si="2"/>
        <v>×</v>
      </c>
    </row>
    <row r="192" spans="1:12">
      <c r="A192">
        <v>3</v>
      </c>
      <c r="B192" t="s">
        <v>458</v>
      </c>
      <c r="C192">
        <v>42797.573703703703</v>
      </c>
      <c r="D192" t="s">
        <v>162</v>
      </c>
      <c r="E192">
        <v>146</v>
      </c>
      <c r="G192" t="s">
        <v>97</v>
      </c>
      <c r="H192" t="s">
        <v>459</v>
      </c>
      <c r="J192" t="str">
        <f t="shared" si="2"/>
        <v>〇</v>
      </c>
      <c r="L192" t="s">
        <v>458</v>
      </c>
    </row>
    <row r="193" spans="1:12">
      <c r="A193">
        <v>3</v>
      </c>
      <c r="B193" t="s">
        <v>460</v>
      </c>
      <c r="C193">
        <v>42797.574444444443</v>
      </c>
      <c r="D193" t="s">
        <v>162</v>
      </c>
      <c r="E193" t="s">
        <v>110</v>
      </c>
      <c r="J193" t="str">
        <f t="shared" ref="J193:J223" si="3">IF(B193=L193,"〇","×")</f>
        <v>×</v>
      </c>
    </row>
    <row r="194" spans="1:12">
      <c r="A194">
        <v>1</v>
      </c>
      <c r="B194" t="s">
        <v>461</v>
      </c>
      <c r="C194">
        <v>42797.587268518517</v>
      </c>
      <c r="D194" t="s">
        <v>295</v>
      </c>
      <c r="E194">
        <v>118</v>
      </c>
      <c r="H194" t="s">
        <v>462</v>
      </c>
      <c r="J194" t="str">
        <f t="shared" si="3"/>
        <v>〇</v>
      </c>
      <c r="L194" t="s">
        <v>461</v>
      </c>
    </row>
    <row r="195" spans="1:12">
      <c r="A195">
        <v>1</v>
      </c>
      <c r="B195" t="s">
        <v>463</v>
      </c>
      <c r="C195">
        <v>42797.589259259257</v>
      </c>
      <c r="D195" t="s">
        <v>295</v>
      </c>
      <c r="E195" t="s">
        <v>110</v>
      </c>
      <c r="J195" t="str">
        <f t="shared" si="3"/>
        <v>〇</v>
      </c>
      <c r="L195" t="s">
        <v>463</v>
      </c>
    </row>
    <row r="196" spans="1:12">
      <c r="A196">
        <v>1</v>
      </c>
      <c r="B196" t="s">
        <v>464</v>
      </c>
      <c r="C196">
        <v>42797.591527777775</v>
      </c>
      <c r="D196" t="s">
        <v>295</v>
      </c>
      <c r="E196" t="s">
        <v>110</v>
      </c>
      <c r="J196" t="str">
        <f t="shared" si="3"/>
        <v>〇</v>
      </c>
      <c r="L196" t="s">
        <v>464</v>
      </c>
    </row>
    <row r="197" spans="1:12">
      <c r="A197">
        <v>1</v>
      </c>
      <c r="B197" t="s">
        <v>465</v>
      </c>
      <c r="C197">
        <v>42797.594155092593</v>
      </c>
      <c r="D197" t="s">
        <v>295</v>
      </c>
      <c r="E197">
        <v>120</v>
      </c>
      <c r="G197" t="s">
        <v>97</v>
      </c>
      <c r="H197" t="s">
        <v>466</v>
      </c>
      <c r="J197" t="str">
        <f t="shared" si="3"/>
        <v>〇</v>
      </c>
      <c r="L197" t="s">
        <v>465</v>
      </c>
    </row>
    <row r="198" spans="1:12">
      <c r="A198">
        <v>1</v>
      </c>
      <c r="B198" t="s">
        <v>467</v>
      </c>
      <c r="C198">
        <v>42797.596504629626</v>
      </c>
      <c r="D198" t="s">
        <v>295</v>
      </c>
      <c r="E198">
        <v>653</v>
      </c>
      <c r="G198" t="s">
        <v>100</v>
      </c>
      <c r="H198" t="s">
        <v>468</v>
      </c>
      <c r="J198" t="str">
        <f t="shared" si="3"/>
        <v>〇</v>
      </c>
      <c r="L198" t="s">
        <v>467</v>
      </c>
    </row>
    <row r="199" spans="1:12">
      <c r="A199">
        <v>1</v>
      </c>
      <c r="B199" t="s">
        <v>469</v>
      </c>
      <c r="C199">
        <v>42797.598900462966</v>
      </c>
      <c r="D199" t="s">
        <v>295</v>
      </c>
      <c r="E199">
        <v>382</v>
      </c>
      <c r="G199" t="s">
        <v>100</v>
      </c>
      <c r="H199" t="s">
        <v>470</v>
      </c>
      <c r="J199" t="str">
        <f t="shared" si="3"/>
        <v>〇</v>
      </c>
      <c r="L199" t="s">
        <v>469</v>
      </c>
    </row>
    <row r="200" spans="1:12">
      <c r="A200">
        <v>1</v>
      </c>
      <c r="B200" t="s">
        <v>471</v>
      </c>
      <c r="C200">
        <v>42797.602118055554</v>
      </c>
      <c r="D200" t="s">
        <v>295</v>
      </c>
      <c r="E200">
        <v>156</v>
      </c>
      <c r="H200" t="s">
        <v>472</v>
      </c>
      <c r="J200" t="str">
        <f t="shared" si="3"/>
        <v>〇</v>
      </c>
      <c r="L200" t="s">
        <v>471</v>
      </c>
    </row>
    <row r="201" spans="1:12">
      <c r="A201">
        <v>2</v>
      </c>
      <c r="B201" t="s">
        <v>473</v>
      </c>
      <c r="C201">
        <v>42797.603877314818</v>
      </c>
      <c r="D201" t="s">
        <v>295</v>
      </c>
      <c r="E201" t="s">
        <v>110</v>
      </c>
      <c r="J201" t="str">
        <f t="shared" si="3"/>
        <v>〇</v>
      </c>
      <c r="L201" t="s">
        <v>473</v>
      </c>
    </row>
    <row r="202" spans="1:12">
      <c r="A202">
        <v>3</v>
      </c>
      <c r="B202" t="s">
        <v>474</v>
      </c>
      <c r="C202">
        <v>42797.606446759259</v>
      </c>
      <c r="D202" t="s">
        <v>295</v>
      </c>
      <c r="E202">
        <v>817</v>
      </c>
      <c r="G202" t="s">
        <v>97</v>
      </c>
      <c r="H202" t="s">
        <v>475</v>
      </c>
      <c r="J202" t="str">
        <f t="shared" si="3"/>
        <v>〇</v>
      </c>
      <c r="L202" t="s">
        <v>474</v>
      </c>
    </row>
    <row r="203" spans="1:12">
      <c r="A203">
        <v>3</v>
      </c>
      <c r="B203" t="s">
        <v>476</v>
      </c>
      <c r="C203">
        <v>42797.577974537038</v>
      </c>
      <c r="D203" t="s">
        <v>162</v>
      </c>
      <c r="E203">
        <v>915</v>
      </c>
      <c r="G203" t="s">
        <v>105</v>
      </c>
      <c r="H203" t="s">
        <v>477</v>
      </c>
      <c r="J203" t="str">
        <f t="shared" si="3"/>
        <v>〇</v>
      </c>
      <c r="L203" t="s">
        <v>476</v>
      </c>
    </row>
    <row r="204" spans="1:12">
      <c r="A204">
        <v>2</v>
      </c>
      <c r="B204" t="s">
        <v>478</v>
      </c>
      <c r="C204">
        <v>42797.580254629633</v>
      </c>
      <c r="D204" t="s">
        <v>162</v>
      </c>
      <c r="E204">
        <v>915</v>
      </c>
      <c r="G204" t="s">
        <v>100</v>
      </c>
      <c r="H204" t="s">
        <v>479</v>
      </c>
      <c r="J204" t="str">
        <f t="shared" si="3"/>
        <v>〇</v>
      </c>
      <c r="L204" t="s">
        <v>478</v>
      </c>
    </row>
    <row r="205" spans="1:12">
      <c r="A205">
        <v>1</v>
      </c>
      <c r="B205" t="s">
        <v>480</v>
      </c>
      <c r="C205">
        <v>42797.58252314815</v>
      </c>
      <c r="D205" t="s">
        <v>162</v>
      </c>
      <c r="E205">
        <v>615</v>
      </c>
      <c r="G205" t="s">
        <v>97</v>
      </c>
      <c r="H205" t="s">
        <v>481</v>
      </c>
      <c r="J205" t="str">
        <f t="shared" si="3"/>
        <v>〇</v>
      </c>
      <c r="L205" t="s">
        <v>480</v>
      </c>
    </row>
    <row r="206" spans="1:12">
      <c r="A206">
        <v>1</v>
      </c>
      <c r="B206" t="s">
        <v>482</v>
      </c>
      <c r="C206">
        <v>42797.584745370368</v>
      </c>
      <c r="D206" t="s">
        <v>162</v>
      </c>
      <c r="E206">
        <v>915</v>
      </c>
      <c r="G206" t="s">
        <v>105</v>
      </c>
      <c r="H206" t="s">
        <v>483</v>
      </c>
      <c r="J206" t="str">
        <f t="shared" si="3"/>
        <v>〇</v>
      </c>
      <c r="L206" t="s">
        <v>482</v>
      </c>
    </row>
    <row r="207" spans="1:12">
      <c r="A207">
        <v>1</v>
      </c>
      <c r="B207" t="s">
        <v>484</v>
      </c>
      <c r="C207">
        <v>42797.586435185185</v>
      </c>
      <c r="D207" t="s">
        <v>162</v>
      </c>
      <c r="E207">
        <v>463</v>
      </c>
      <c r="G207" t="s">
        <v>97</v>
      </c>
      <c r="H207" t="s">
        <v>485</v>
      </c>
      <c r="J207" t="str">
        <f t="shared" si="3"/>
        <v>〇</v>
      </c>
      <c r="L207" t="s">
        <v>484</v>
      </c>
    </row>
    <row r="208" spans="1:12">
      <c r="A208">
        <v>1</v>
      </c>
      <c r="B208" t="s">
        <v>486</v>
      </c>
      <c r="C208">
        <v>42797.588460648149</v>
      </c>
      <c r="D208" t="s">
        <v>162</v>
      </c>
      <c r="E208">
        <v>454</v>
      </c>
      <c r="G208" t="s">
        <v>100</v>
      </c>
      <c r="H208" t="s">
        <v>487</v>
      </c>
      <c r="J208" t="str">
        <f t="shared" si="3"/>
        <v>〇</v>
      </c>
      <c r="L208" t="s">
        <v>486</v>
      </c>
    </row>
    <row r="209" spans="1:12">
      <c r="A209">
        <v>1</v>
      </c>
      <c r="B209" t="s">
        <v>488</v>
      </c>
      <c r="C209">
        <v>42797.589143518519</v>
      </c>
      <c r="D209" t="s">
        <v>162</v>
      </c>
      <c r="E209" t="s">
        <v>110</v>
      </c>
      <c r="J209" t="str">
        <f t="shared" si="3"/>
        <v>〇</v>
      </c>
      <c r="L209" t="s">
        <v>488</v>
      </c>
    </row>
    <row r="210" spans="1:12">
      <c r="A210">
        <v>1</v>
      </c>
      <c r="B210" t="s">
        <v>489</v>
      </c>
      <c r="C210">
        <v>42797.590266203704</v>
      </c>
      <c r="D210" t="s">
        <v>162</v>
      </c>
      <c r="E210" t="s">
        <v>110</v>
      </c>
      <c r="J210" t="str">
        <f t="shared" si="3"/>
        <v>〇</v>
      </c>
      <c r="L210" t="s">
        <v>489</v>
      </c>
    </row>
    <row r="211" spans="1:12">
      <c r="A211">
        <v>2</v>
      </c>
      <c r="B211" t="s">
        <v>490</v>
      </c>
      <c r="C211">
        <v>42797.59103009259</v>
      </c>
      <c r="D211" t="s">
        <v>162</v>
      </c>
      <c r="E211" t="s">
        <v>110</v>
      </c>
      <c r="J211" t="str">
        <f t="shared" si="3"/>
        <v>〇</v>
      </c>
      <c r="L211" t="s">
        <v>490</v>
      </c>
    </row>
    <row r="212" spans="1:12">
      <c r="A212">
        <v>1</v>
      </c>
      <c r="B212" t="s">
        <v>491</v>
      </c>
      <c r="C212">
        <v>42797.54241898148</v>
      </c>
      <c r="D212" t="s">
        <v>295</v>
      </c>
      <c r="E212">
        <v>116</v>
      </c>
      <c r="H212" t="s">
        <v>492</v>
      </c>
      <c r="J212" t="str">
        <f t="shared" si="3"/>
        <v>〇</v>
      </c>
      <c r="L212" t="s">
        <v>491</v>
      </c>
    </row>
    <row r="213" spans="1:12">
      <c r="A213">
        <v>1</v>
      </c>
      <c r="B213" t="s">
        <v>493</v>
      </c>
      <c r="C213">
        <v>42797.543958333335</v>
      </c>
      <c r="D213" t="s">
        <v>295</v>
      </c>
      <c r="E213" t="s">
        <v>110</v>
      </c>
      <c r="J213" t="str">
        <f t="shared" si="3"/>
        <v>〇</v>
      </c>
      <c r="L213" t="s">
        <v>493</v>
      </c>
    </row>
    <row r="214" spans="1:12">
      <c r="A214">
        <v>1</v>
      </c>
      <c r="B214" t="s">
        <v>494</v>
      </c>
      <c r="C214">
        <v>42797.545046296298</v>
      </c>
      <c r="D214" t="s">
        <v>295</v>
      </c>
      <c r="E214" t="s">
        <v>110</v>
      </c>
      <c r="J214" t="str">
        <f t="shared" si="3"/>
        <v>〇</v>
      </c>
      <c r="L214" t="s">
        <v>494</v>
      </c>
    </row>
    <row r="215" spans="1:12">
      <c r="A215">
        <v>1</v>
      </c>
      <c r="B215" t="s">
        <v>495</v>
      </c>
      <c r="C215">
        <v>42797.550949074073</v>
      </c>
      <c r="D215" t="s">
        <v>295</v>
      </c>
      <c r="E215">
        <v>233</v>
      </c>
      <c r="H215" t="s">
        <v>496</v>
      </c>
      <c r="J215" t="str">
        <f t="shared" si="3"/>
        <v>〇</v>
      </c>
      <c r="L215" t="s">
        <v>495</v>
      </c>
    </row>
    <row r="216" spans="1:12">
      <c r="A216">
        <v>1</v>
      </c>
      <c r="B216" t="s">
        <v>497</v>
      </c>
      <c r="C216">
        <v>42797.554398148146</v>
      </c>
      <c r="D216" t="s">
        <v>295</v>
      </c>
      <c r="E216">
        <v>270</v>
      </c>
      <c r="G216" t="s">
        <v>97</v>
      </c>
      <c r="H216" t="s">
        <v>498</v>
      </c>
      <c r="J216" t="str">
        <f t="shared" si="3"/>
        <v>〇</v>
      </c>
      <c r="L216" t="s">
        <v>497</v>
      </c>
    </row>
    <row r="217" spans="1:12">
      <c r="A217">
        <v>1</v>
      </c>
      <c r="B217" t="s">
        <v>499</v>
      </c>
      <c r="C217">
        <v>42797.556435185186</v>
      </c>
      <c r="D217" t="s">
        <v>295</v>
      </c>
      <c r="E217">
        <v>300</v>
      </c>
      <c r="G217" t="s">
        <v>97</v>
      </c>
      <c r="H217" t="s">
        <v>500</v>
      </c>
      <c r="J217" t="str">
        <f t="shared" si="3"/>
        <v>〇</v>
      </c>
      <c r="L217" t="s">
        <v>499</v>
      </c>
    </row>
    <row r="218" spans="1:12">
      <c r="A218">
        <v>1</v>
      </c>
      <c r="B218" t="s">
        <v>501</v>
      </c>
      <c r="C218">
        <v>42797.559212962966</v>
      </c>
      <c r="D218" t="s">
        <v>295</v>
      </c>
      <c r="E218">
        <v>915</v>
      </c>
      <c r="G218" t="s">
        <v>105</v>
      </c>
      <c r="H218" t="s">
        <v>502</v>
      </c>
      <c r="J218" t="str">
        <f t="shared" si="3"/>
        <v>〇</v>
      </c>
      <c r="L218" t="s">
        <v>501</v>
      </c>
    </row>
    <row r="219" spans="1:12">
      <c r="A219">
        <v>1</v>
      </c>
      <c r="B219" t="s">
        <v>503</v>
      </c>
      <c r="C219">
        <v>42797.564328703702</v>
      </c>
      <c r="D219" t="s">
        <v>295</v>
      </c>
      <c r="E219">
        <v>152</v>
      </c>
      <c r="H219" t="s">
        <v>504</v>
      </c>
      <c r="J219" t="str">
        <f t="shared" si="3"/>
        <v>〇</v>
      </c>
      <c r="L219" t="s">
        <v>503</v>
      </c>
    </row>
    <row r="220" spans="1:12">
      <c r="A220">
        <v>1</v>
      </c>
      <c r="B220" t="s">
        <v>505</v>
      </c>
      <c r="C220">
        <v>42797.566921296297</v>
      </c>
      <c r="D220" t="s">
        <v>295</v>
      </c>
      <c r="E220">
        <v>95</v>
      </c>
      <c r="G220" t="s">
        <v>97</v>
      </c>
      <c r="H220" t="s">
        <v>506</v>
      </c>
      <c r="J220" t="str">
        <f t="shared" si="3"/>
        <v>〇</v>
      </c>
      <c r="L220" t="s">
        <v>505</v>
      </c>
    </row>
    <row r="221" spans="1:12">
      <c r="A221">
        <v>1</v>
      </c>
      <c r="B221" t="s">
        <v>507</v>
      </c>
      <c r="C221">
        <v>42797.569155092591</v>
      </c>
      <c r="D221" t="s">
        <v>295</v>
      </c>
      <c r="E221">
        <v>750</v>
      </c>
      <c r="G221" t="s">
        <v>105</v>
      </c>
      <c r="H221" t="s">
        <v>508</v>
      </c>
      <c r="J221" t="str">
        <f t="shared" si="3"/>
        <v>〇</v>
      </c>
      <c r="L221" t="s">
        <v>507</v>
      </c>
    </row>
    <row r="222" spans="1:12">
      <c r="A222">
        <v>1</v>
      </c>
      <c r="B222" t="s">
        <v>509</v>
      </c>
      <c r="C222">
        <v>42797.573275462964</v>
      </c>
      <c r="D222" t="s">
        <v>295</v>
      </c>
      <c r="E222">
        <v>363</v>
      </c>
      <c r="G222" t="s">
        <v>100</v>
      </c>
      <c r="H222" t="s">
        <v>510</v>
      </c>
      <c r="J222" t="str">
        <f t="shared" si="3"/>
        <v>〇</v>
      </c>
      <c r="L222" t="s">
        <v>509</v>
      </c>
    </row>
    <row r="223" spans="1:12">
      <c r="A223">
        <v>1</v>
      </c>
      <c r="B223" t="s">
        <v>511</v>
      </c>
      <c r="C223">
        <v>42797.578379629631</v>
      </c>
      <c r="D223" t="s">
        <v>295</v>
      </c>
      <c r="E223">
        <v>531</v>
      </c>
      <c r="H223" t="s">
        <v>512</v>
      </c>
      <c r="J223" t="str">
        <f t="shared" si="3"/>
        <v>〇</v>
      </c>
      <c r="L223" t="s">
        <v>511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元データー</vt:lpstr>
      <vt:lpstr>該当動画の処理進捗</vt:lpstr>
      <vt:lpstr>入力規制リスト</vt:lpstr>
      <vt:lpstr>切り出し確認</vt:lpstr>
    </vt:vector>
  </TitlesOfParts>
  <Company>KONICA MINOLTA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YUUJI SHIMOMURA</dc:creator>
  <cp:lastModifiedBy>konicaminolta</cp:lastModifiedBy>
  <cp:lastPrinted>2017-02-22T23:57:33Z</cp:lastPrinted>
  <dcterms:created xsi:type="dcterms:W3CDTF">2017-01-30T07:23:33Z</dcterms:created>
  <dcterms:modified xsi:type="dcterms:W3CDTF">2017-03-10T07:23:14Z</dcterms:modified>
</cp:coreProperties>
</file>